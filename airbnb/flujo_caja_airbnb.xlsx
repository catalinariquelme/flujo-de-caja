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ámetros" sheetId="1" state="visible" r:id="rId1"/>
    <sheet name="Flujo de Caja Mensual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&quot; meses&quot;"/>
    <numFmt numFmtId="166" formatCode="0.000%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color rgb="001A1A2E"/>
      <sz val="10"/>
    </font>
    <font>
      <name val="Calibri"/>
      <b val="1"/>
      <color rgb="00154360"/>
      <sz val="11"/>
    </font>
    <font>
      <name val="Calibri"/>
      <i val="1"/>
      <color rgb="00888888"/>
      <sz val="9"/>
    </font>
    <font>
      <name val="Calibri"/>
      <b val="1"/>
      <color rgb="00FFFFFF"/>
      <sz val="9"/>
    </font>
    <font>
      <name val="Calibri"/>
      <color rgb="00FFFFFF"/>
      <sz val="8"/>
    </font>
    <font>
      <name val="Calibri"/>
      <color rgb="001A1A2E"/>
      <sz val="9"/>
    </font>
    <font>
      <name val="Calibri"/>
      <b val="1"/>
      <color rgb="001A1A2E"/>
      <sz val="10"/>
    </font>
    <font>
      <name val="Calibri"/>
      <b val="1"/>
      <color rgb="007B241C"/>
      <sz val="9"/>
    </font>
    <font>
      <name val="Calibri"/>
      <b val="1"/>
      <color rgb="00145A32"/>
      <sz val="9"/>
    </font>
    <font>
      <name val="Calibri"/>
      <b val="1"/>
      <color rgb="001A1A2E"/>
      <sz val="9"/>
    </font>
    <font>
      <name val="Calibri"/>
      <b val="1"/>
      <color rgb="001A5276"/>
      <sz val="9"/>
    </font>
    <font>
      <name val="Calibri"/>
      <b val="1"/>
      <color rgb="001A1A2E"/>
      <sz val="11"/>
    </font>
    <font>
      <name val="Calibri"/>
      <i val="1"/>
      <color rgb="00AAAAAA"/>
      <sz val="8"/>
    </font>
  </fonts>
  <fills count="15">
    <fill>
      <patternFill/>
    </fill>
    <fill>
      <patternFill patternType="gray125"/>
    </fill>
    <fill>
      <patternFill patternType="solid">
        <fgColor rgb="001A1A2E"/>
      </patternFill>
    </fill>
    <fill>
      <patternFill patternType="solid">
        <fgColor rgb="00154360"/>
      </patternFill>
    </fill>
    <fill>
      <patternFill patternType="solid">
        <fgColor rgb="00F4F6F7"/>
      </patternFill>
    </fill>
    <fill>
      <patternFill patternType="solid">
        <fgColor rgb="00FFFDE7"/>
      </patternFill>
    </fill>
    <fill>
      <patternFill patternType="solid">
        <fgColor rgb="00FFFFFF"/>
      </patternFill>
    </fill>
    <fill>
      <patternFill patternType="solid">
        <fgColor rgb="00C0392B"/>
      </patternFill>
    </fill>
    <fill>
      <patternFill patternType="solid">
        <fgColor rgb="001A237E"/>
      </patternFill>
    </fill>
    <fill>
      <patternFill patternType="solid">
        <fgColor rgb="002C3E50"/>
      </patternFill>
    </fill>
    <fill>
      <patternFill patternType="solid">
        <fgColor rgb="007B241C"/>
      </patternFill>
    </fill>
    <fill>
      <patternFill patternType="solid">
        <fgColor rgb="001A5276"/>
      </patternFill>
    </fill>
    <fill>
      <patternFill patternType="solid">
        <fgColor rgb="00FADBD8"/>
      </patternFill>
    </fill>
    <fill>
      <patternFill patternType="solid">
        <fgColor rgb="00D6EAF8"/>
      </patternFill>
    </fill>
    <fill>
      <patternFill patternType="solid">
        <fgColor rgb="00D5F5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7" fillId="9" borderId="1" applyAlignment="1" pivotButton="0" quotePrefix="0" xfId="0">
      <alignment horizontal="center" vertical="center"/>
    </xf>
    <xf numFmtId="3" fontId="8" fillId="12" borderId="1" applyAlignment="1" pivotButton="0" quotePrefix="0" xfId="0">
      <alignment horizontal="right" vertical="center"/>
    </xf>
    <xf numFmtId="3" fontId="8" fillId="6" borderId="1" applyAlignment="1" pivotButton="0" quotePrefix="0" xfId="0">
      <alignment horizontal="right" vertical="center"/>
    </xf>
    <xf numFmtId="3" fontId="9" fillId="13" borderId="1" applyAlignment="1" pivotButton="0" quotePrefix="0" xfId="0">
      <alignment horizontal="right" vertical="center"/>
    </xf>
    <xf numFmtId="1" fontId="8" fillId="12" borderId="1" applyAlignment="1" pivotButton="0" quotePrefix="0" xfId="0">
      <alignment horizontal="right" vertical="center"/>
    </xf>
    <xf numFmtId="1" fontId="8" fillId="4" borderId="1" applyAlignment="1" pivotButton="0" quotePrefix="0" xfId="0">
      <alignment horizontal="right" vertical="center"/>
    </xf>
    <xf numFmtId="1" fontId="9" fillId="13" borderId="1" applyAlignment="1" pivotButton="0" quotePrefix="0" xfId="0">
      <alignment horizontal="right" vertical="center"/>
    </xf>
    <xf numFmtId="3" fontId="8" fillId="4" borderId="1" applyAlignment="1" pivotButton="0" quotePrefix="0" xfId="0">
      <alignment horizontal="right" vertical="center"/>
    </xf>
    <xf numFmtId="0" fontId="9" fillId="13" borderId="1" applyAlignment="1" pivotButton="0" quotePrefix="0" xfId="0">
      <alignment horizontal="left" vertical="center"/>
    </xf>
    <xf numFmtId="3" fontId="10" fillId="12" borderId="1" applyAlignment="1" pivotButton="0" quotePrefix="0" xfId="0">
      <alignment horizontal="right" vertical="center"/>
    </xf>
    <xf numFmtId="3" fontId="11" fillId="14" borderId="1" applyAlignment="1" pivotButton="0" quotePrefix="0" xfId="0">
      <alignment horizontal="right" vertical="center"/>
    </xf>
    <xf numFmtId="0" fontId="2" fillId="10" borderId="0" applyAlignment="1" pivotButton="0" quotePrefix="0" xfId="0">
      <alignment horizontal="left" vertical="center"/>
    </xf>
    <xf numFmtId="3" fontId="12" fillId="12" borderId="1" applyAlignment="1" pivotButton="0" quotePrefix="0" xfId="0">
      <alignment horizontal="right" vertical="center"/>
    </xf>
    <xf numFmtId="3" fontId="12" fillId="14" borderId="1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3" fontId="13" fillId="12" borderId="1" applyAlignment="1" pivotButton="0" quotePrefix="0" xfId="0">
      <alignment horizontal="right" vertical="center"/>
    </xf>
    <xf numFmtId="3" fontId="13" fillId="14" borderId="1" applyAlignment="1" pivotButton="0" quotePrefix="0" xfId="0">
      <alignment horizontal="right" vertical="center"/>
    </xf>
    <xf numFmtId="3" fontId="14" fillId="4" borderId="1" applyAlignment="1" pivotButton="0" quotePrefix="0" xfId="0">
      <alignment horizontal="right" vertical="center"/>
    </xf>
    <xf numFmtId="165" fontId="14" fillId="6" borderId="1" applyAlignment="1" pivotButton="0" quotePrefix="0" xfId="0">
      <alignment horizontal="right" vertical="center"/>
    </xf>
    <xf numFmtId="1" fontId="14" fillId="4" borderId="1" applyAlignment="1" pivotButton="0" quotePrefix="0" xfId="0">
      <alignment horizontal="right" vertical="center"/>
    </xf>
    <xf numFmtId="3" fontId="14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164" fontId="14" fillId="4" borderId="1" applyAlignment="1" pivotButton="0" quotePrefix="0" xfId="0">
      <alignment horizontal="right" vertical="center"/>
    </xf>
    <xf numFmtId="166" fontId="14" fillId="6" borderId="1" applyAlignment="1" pivotButton="0" quotePrefix="0" xfId="0">
      <alignment horizontal="right" vertical="center"/>
    </xf>
    <xf numFmtId="10" fontId="14" fillId="6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4" customWidth="1" min="2" max="2"/>
    <col width="4" customWidth="1" min="3" max="3"/>
  </cols>
  <sheetData>
    <row r="1" ht="42" customHeight="1">
      <c r="A1" s="1" t="inlineStr">
        <is>
          <t>PARÁMETROS  –  FLUJO DE CAJA AIRBNB</t>
        </is>
      </c>
    </row>
    <row r="3" ht="22" customHeight="1">
      <c r="A3" s="2" t="inlineStr">
        <is>
          <t>HORIZONTE Y OPERACIÓN</t>
        </is>
      </c>
    </row>
    <row r="4" ht="20" customHeight="1">
      <c r="A4" s="3" t="inlineStr">
        <is>
          <t>Horizonte (meses)</t>
        </is>
      </c>
      <c r="B4" s="4" t="n">
        <v>36</v>
      </c>
    </row>
    <row r="5" ht="20" customHeight="1">
      <c r="A5" s="5" t="inlineStr">
        <is>
          <t>Meses de gracia (sin ingresos)</t>
        </is>
      </c>
      <c r="B5" s="4" t="n">
        <v>6</v>
      </c>
    </row>
    <row r="6" ht="20" customHeight="1">
      <c r="A6" s="3" t="inlineStr">
        <is>
          <t>ADR promedio (CLP / noche)</t>
        </is>
      </c>
      <c r="B6" s="6" t="n">
        <v>38000</v>
      </c>
    </row>
    <row r="7" ht="20" customHeight="1">
      <c r="A7" s="5" t="inlineStr">
        <is>
          <t>Noches promedio por mes</t>
        </is>
      </c>
      <c r="B7" s="4" t="n">
        <v>21</v>
      </c>
    </row>
    <row r="8" ht="20" customHeight="1">
      <c r="A8" s="3" t="inlineStr">
        <is>
          <t>Crecimiento anual ADR</t>
        </is>
      </c>
      <c r="B8" s="7" t="n">
        <v>0.03</v>
      </c>
    </row>
    <row r="10" ht="22" customHeight="1">
      <c r="A10" s="2" t="inlineStr">
        <is>
          <t>COSTOS OPERATIVOS (CLP / mes)</t>
        </is>
      </c>
    </row>
    <row r="11" ht="20" customHeight="1">
      <c r="A11" s="5" t="inlineStr">
        <is>
          <t>Comisión administración / Airbnb</t>
        </is>
      </c>
      <c r="B11" s="7" t="n">
        <v>0.18</v>
      </c>
    </row>
    <row r="12" ht="20" customHeight="1">
      <c r="A12" s="3" t="inlineStr">
        <is>
          <t>Gastos comunes</t>
        </is>
      </c>
      <c r="B12" s="6" t="n">
        <v>90000</v>
      </c>
    </row>
    <row r="13" ht="20" customHeight="1">
      <c r="A13" s="5" t="inlineStr">
        <is>
          <t>Servicios  (luz, agua, internet)</t>
        </is>
      </c>
      <c r="B13" s="6" t="n">
        <v>60000</v>
      </c>
    </row>
    <row r="14" ht="20" customHeight="1">
      <c r="A14" s="3" t="inlineStr">
        <is>
          <t>Fondo de mantención</t>
        </is>
      </c>
      <c r="B14" s="6" t="n">
        <v>40000</v>
      </c>
    </row>
    <row r="15" ht="20" customHeight="1">
      <c r="A15" s="5" t="inlineStr">
        <is>
          <t>Dividendo / arriendo</t>
        </is>
      </c>
      <c r="B15" s="6" t="n">
        <v>274000</v>
      </c>
    </row>
    <row r="17" ht="22" customHeight="1">
      <c r="A17" s="2" t="inlineStr">
        <is>
          <t>INVERSIÓN Y EVALUACIÓN</t>
        </is>
      </c>
    </row>
    <row r="18" ht="20" customHeight="1">
      <c r="A18" s="3" t="inlineStr">
        <is>
          <t>Inversión inicial  (amoblado)</t>
        </is>
      </c>
      <c r="B18" s="6" t="n">
        <v>3200000</v>
      </c>
    </row>
    <row r="19" ht="20" customHeight="1">
      <c r="A19" s="5" t="inlineStr">
        <is>
          <t>Tasa de descuento anual</t>
        </is>
      </c>
      <c r="B19" s="7" t="n">
        <v>0.12</v>
      </c>
    </row>
    <row r="21" ht="28" customHeight="1">
      <c r="A21" s="8" t="inlineStr">
        <is>
          <t>Las celdas en amarillo son editables – el resto se recalcula automáticamente.</t>
        </is>
      </c>
    </row>
  </sheetData>
  <mergeCells count="5">
    <mergeCell ref="A21:B21"/>
    <mergeCell ref="A10:B10"/>
    <mergeCell ref="A1:B1"/>
    <mergeCell ref="A17:B17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1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5" customWidth="1" min="38" max="38"/>
  </cols>
  <sheetData>
    <row r="1" ht="38" customHeight="1">
      <c r="A1" s="1" t="inlineStr">
        <is>
          <t>FLUJO DE CAJA MENSUAL  –  AIRBNB</t>
        </is>
      </c>
    </row>
    <row r="2" ht="28" customHeight="1">
      <c r="A2" s="9" t="inlineStr">
        <is>
          <t>Concepto</t>
        </is>
      </c>
      <c r="B2" s="10" t="inlineStr">
        <is>
          <t>Mes 1</t>
        </is>
      </c>
      <c r="C2" s="10" t="inlineStr">
        <is>
          <t>Mes 2</t>
        </is>
      </c>
      <c r="D2" s="10" t="inlineStr">
        <is>
          <t>Mes 3</t>
        </is>
      </c>
      <c r="E2" s="10" t="inlineStr">
        <is>
          <t>Mes 4</t>
        </is>
      </c>
      <c r="F2" s="10" t="inlineStr">
        <is>
          <t>Mes 5</t>
        </is>
      </c>
      <c r="G2" s="10" t="inlineStr">
        <is>
          <t>Mes 6</t>
        </is>
      </c>
      <c r="H2" s="11" t="inlineStr">
        <is>
          <t>Mes 7</t>
        </is>
      </c>
      <c r="I2" s="11" t="inlineStr">
        <is>
          <t>Mes 8</t>
        </is>
      </c>
      <c r="J2" s="11" t="inlineStr">
        <is>
          <t>Mes 9</t>
        </is>
      </c>
      <c r="K2" s="11" t="inlineStr">
        <is>
          <t>Mes 10</t>
        </is>
      </c>
      <c r="L2" s="11" t="inlineStr">
        <is>
          <t>Mes 11</t>
        </is>
      </c>
      <c r="M2" s="11" t="inlineStr">
        <is>
          <t>Mes 12</t>
        </is>
      </c>
      <c r="N2" s="11" t="inlineStr">
        <is>
          <t>Mes 13</t>
        </is>
      </c>
      <c r="O2" s="11" t="inlineStr">
        <is>
          <t>Mes 14</t>
        </is>
      </c>
      <c r="P2" s="11" t="inlineStr">
        <is>
          <t>Mes 15</t>
        </is>
      </c>
      <c r="Q2" s="11" t="inlineStr">
        <is>
          <t>Mes 16</t>
        </is>
      </c>
      <c r="R2" s="11" t="inlineStr">
        <is>
          <t>Mes 17</t>
        </is>
      </c>
      <c r="S2" s="11" t="inlineStr">
        <is>
          <t>Mes 18</t>
        </is>
      </c>
      <c r="T2" s="11" t="inlineStr">
        <is>
          <t>Mes 19</t>
        </is>
      </c>
      <c r="U2" s="11" t="inlineStr">
        <is>
          <t>Mes 20</t>
        </is>
      </c>
      <c r="V2" s="11" t="inlineStr">
        <is>
          <t>Mes 21</t>
        </is>
      </c>
      <c r="W2" s="11" t="inlineStr">
        <is>
          <t>Mes 22</t>
        </is>
      </c>
      <c r="X2" s="11" t="inlineStr">
        <is>
          <t>Mes 23</t>
        </is>
      </c>
      <c r="Y2" s="11" t="inlineStr">
        <is>
          <t>Mes 24</t>
        </is>
      </c>
      <c r="Z2" s="11" t="inlineStr">
        <is>
          <t>Mes 25</t>
        </is>
      </c>
      <c r="AA2" s="11" t="inlineStr">
        <is>
          <t>Mes 26</t>
        </is>
      </c>
      <c r="AB2" s="11" t="inlineStr">
        <is>
          <t>Mes 27</t>
        </is>
      </c>
      <c r="AC2" s="11" t="inlineStr">
        <is>
          <t>Mes 28</t>
        </is>
      </c>
      <c r="AD2" s="11" t="inlineStr">
        <is>
          <t>Mes 29</t>
        </is>
      </c>
      <c r="AE2" s="11" t="inlineStr">
        <is>
          <t>Mes 30</t>
        </is>
      </c>
      <c r="AF2" s="11" t="inlineStr">
        <is>
          <t>Mes 31</t>
        </is>
      </c>
      <c r="AG2" s="11" t="inlineStr">
        <is>
          <t>Mes 32</t>
        </is>
      </c>
      <c r="AH2" s="11" t="inlineStr">
        <is>
          <t>Mes 33</t>
        </is>
      </c>
      <c r="AI2" s="11" t="inlineStr">
        <is>
          <t>Mes 34</t>
        </is>
      </c>
      <c r="AJ2" s="11" t="inlineStr">
        <is>
          <t>Mes 35</t>
        </is>
      </c>
      <c r="AK2" s="11" t="inlineStr">
        <is>
          <t>Mes 36</t>
        </is>
      </c>
      <c r="AL2" s="12" t="inlineStr">
        <is>
          <t>TOTAL / FINAL</t>
        </is>
      </c>
    </row>
    <row r="3" ht="20" customHeight="1">
      <c r="A3" s="13" t="inlineStr">
        <is>
          <t>Período</t>
        </is>
      </c>
      <c r="B3" s="14" t="inlineStr">
        <is>
          <t>Jan 2025</t>
        </is>
      </c>
      <c r="C3" s="14" t="inlineStr">
        <is>
          <t>Feb 2025</t>
        </is>
      </c>
      <c r="D3" s="14" t="inlineStr">
        <is>
          <t>Mar 2025</t>
        </is>
      </c>
      <c r="E3" s="14" t="inlineStr">
        <is>
          <t>Apr 2025</t>
        </is>
      </c>
      <c r="F3" s="14" t="inlineStr">
        <is>
          <t>May 2025</t>
        </is>
      </c>
      <c r="G3" s="14" t="inlineStr">
        <is>
          <t>Jun 2025</t>
        </is>
      </c>
      <c r="H3" s="14" t="inlineStr">
        <is>
          <t>Jul 2025</t>
        </is>
      </c>
      <c r="I3" s="14" t="inlineStr">
        <is>
          <t>Aug 2025</t>
        </is>
      </c>
      <c r="J3" s="14" t="inlineStr">
        <is>
          <t>Sep 2025</t>
        </is>
      </c>
      <c r="K3" s="14" t="inlineStr">
        <is>
          <t>Oct 2025</t>
        </is>
      </c>
      <c r="L3" s="14" t="inlineStr">
        <is>
          <t>Nov 2025</t>
        </is>
      </c>
      <c r="M3" s="14" t="inlineStr">
        <is>
          <t>Dec 2025</t>
        </is>
      </c>
      <c r="N3" s="14" t="inlineStr">
        <is>
          <t>Jan 2026</t>
        </is>
      </c>
      <c r="O3" s="14" t="inlineStr">
        <is>
          <t>Feb 2026</t>
        </is>
      </c>
      <c r="P3" s="14" t="inlineStr">
        <is>
          <t>Mar 2026</t>
        </is>
      </c>
      <c r="Q3" s="14" t="inlineStr">
        <is>
          <t>Apr 2026</t>
        </is>
      </c>
      <c r="R3" s="14" t="inlineStr">
        <is>
          <t>May 2026</t>
        </is>
      </c>
      <c r="S3" s="14" t="inlineStr">
        <is>
          <t>Jun 2026</t>
        </is>
      </c>
      <c r="T3" s="14" t="inlineStr">
        <is>
          <t>Jul 2026</t>
        </is>
      </c>
      <c r="U3" s="14" t="inlineStr">
        <is>
          <t>Aug 2026</t>
        </is>
      </c>
      <c r="V3" s="14" t="inlineStr">
        <is>
          <t>Sep 2026</t>
        </is>
      </c>
      <c r="W3" s="14" t="inlineStr">
        <is>
          <t>Oct 2026</t>
        </is>
      </c>
      <c r="X3" s="14" t="inlineStr">
        <is>
          <t>Nov 2026</t>
        </is>
      </c>
      <c r="Y3" s="14" t="inlineStr">
        <is>
          <t>Dec 2026</t>
        </is>
      </c>
      <c r="Z3" s="14" t="inlineStr">
        <is>
          <t>Jan 2027</t>
        </is>
      </c>
      <c r="AA3" s="14" t="inlineStr">
        <is>
          <t>Feb 2027</t>
        </is>
      </c>
      <c r="AB3" s="14" t="inlineStr">
        <is>
          <t>Mar 2027</t>
        </is>
      </c>
      <c r="AC3" s="14" t="inlineStr">
        <is>
          <t>Apr 2027</t>
        </is>
      </c>
      <c r="AD3" s="14" t="inlineStr">
        <is>
          <t>May 2027</t>
        </is>
      </c>
      <c r="AE3" s="14" t="inlineStr">
        <is>
          <t>Jun 2027</t>
        </is>
      </c>
      <c r="AF3" s="14" t="inlineStr">
        <is>
          <t>Jul 2027</t>
        </is>
      </c>
      <c r="AG3" s="14" t="inlineStr">
        <is>
          <t>Aug 2027</t>
        </is>
      </c>
      <c r="AH3" s="14" t="inlineStr">
        <is>
          <t>Sep 2027</t>
        </is>
      </c>
      <c r="AI3" s="14" t="inlineStr">
        <is>
          <t>Oct 2027</t>
        </is>
      </c>
      <c r="AJ3" s="14" t="inlineStr">
        <is>
          <t>Nov 2027</t>
        </is>
      </c>
      <c r="AK3" s="14" t="inlineStr">
        <is>
          <t>Dec 2027</t>
        </is>
      </c>
      <c r="AL3" s="14" t="inlineStr">
        <is>
          <t>36 meses</t>
        </is>
      </c>
    </row>
    <row r="4" ht="22" customHeight="1">
      <c r="A4" s="2" t="inlineStr">
        <is>
          <t>INGRESOS</t>
        </is>
      </c>
    </row>
    <row r="5" ht="20" customHeight="1">
      <c r="A5" s="5" t="inlineStr">
        <is>
          <t>ADR  (CLP / noche)</t>
        </is>
      </c>
      <c r="B5" s="15">
        <f>IF(1&lt;='Parámetros'!$B$5,0,'Parámetros'!$B$6*(1+'Parámetros'!$B$8)^0)</f>
        <v/>
      </c>
      <c r="C5" s="15">
        <f>IF(2&lt;='Parámetros'!$B$5,0,'Parámetros'!$B$6*(1+'Parámetros'!$B$8)^0)</f>
        <v/>
      </c>
      <c r="D5" s="15">
        <f>IF(3&lt;='Parámetros'!$B$5,0,'Parámetros'!$B$6*(1+'Parámetros'!$B$8)^0)</f>
        <v/>
      </c>
      <c r="E5" s="15">
        <f>IF(4&lt;='Parámetros'!$B$5,0,'Parámetros'!$B$6*(1+'Parámetros'!$B$8)^0)</f>
        <v/>
      </c>
      <c r="F5" s="15">
        <f>IF(5&lt;='Parámetros'!$B$5,0,'Parámetros'!$B$6*(1+'Parámetros'!$B$8)^0)</f>
        <v/>
      </c>
      <c r="G5" s="15">
        <f>IF(6&lt;='Parámetros'!$B$5,0,'Parámetros'!$B$6*(1+'Parámetros'!$B$8)^0)</f>
        <v/>
      </c>
      <c r="H5" s="16">
        <f>IF(7&lt;='Parámetros'!$B$5,0,'Parámetros'!$B$6*(1+'Parámetros'!$B$8)^0)</f>
        <v/>
      </c>
      <c r="I5" s="16">
        <f>IF(8&lt;='Parámetros'!$B$5,0,'Parámetros'!$B$6*(1+'Parámetros'!$B$8)^0)</f>
        <v/>
      </c>
      <c r="J5" s="16">
        <f>IF(9&lt;='Parámetros'!$B$5,0,'Parámetros'!$B$6*(1+'Parámetros'!$B$8)^0)</f>
        <v/>
      </c>
      <c r="K5" s="16">
        <f>IF(10&lt;='Parámetros'!$B$5,0,'Parámetros'!$B$6*(1+'Parámetros'!$B$8)^0)</f>
        <v/>
      </c>
      <c r="L5" s="16">
        <f>IF(11&lt;='Parámetros'!$B$5,0,'Parámetros'!$B$6*(1+'Parámetros'!$B$8)^0)</f>
        <v/>
      </c>
      <c r="M5" s="16">
        <f>IF(12&lt;='Parámetros'!$B$5,0,'Parámetros'!$B$6*(1+'Parámetros'!$B$8)^0)</f>
        <v/>
      </c>
      <c r="N5" s="16">
        <f>IF(13&lt;='Parámetros'!$B$5,0,'Parámetros'!$B$6*(1+'Parámetros'!$B$8)^1)</f>
        <v/>
      </c>
      <c r="O5" s="16">
        <f>IF(14&lt;='Parámetros'!$B$5,0,'Parámetros'!$B$6*(1+'Parámetros'!$B$8)^1)</f>
        <v/>
      </c>
      <c r="P5" s="16">
        <f>IF(15&lt;='Parámetros'!$B$5,0,'Parámetros'!$B$6*(1+'Parámetros'!$B$8)^1)</f>
        <v/>
      </c>
      <c r="Q5" s="16">
        <f>IF(16&lt;='Parámetros'!$B$5,0,'Parámetros'!$B$6*(1+'Parámetros'!$B$8)^1)</f>
        <v/>
      </c>
      <c r="R5" s="16">
        <f>IF(17&lt;='Parámetros'!$B$5,0,'Parámetros'!$B$6*(1+'Parámetros'!$B$8)^1)</f>
        <v/>
      </c>
      <c r="S5" s="16">
        <f>IF(18&lt;='Parámetros'!$B$5,0,'Parámetros'!$B$6*(1+'Parámetros'!$B$8)^1)</f>
        <v/>
      </c>
      <c r="T5" s="16">
        <f>IF(19&lt;='Parámetros'!$B$5,0,'Parámetros'!$B$6*(1+'Parámetros'!$B$8)^1)</f>
        <v/>
      </c>
      <c r="U5" s="16">
        <f>IF(20&lt;='Parámetros'!$B$5,0,'Parámetros'!$B$6*(1+'Parámetros'!$B$8)^1)</f>
        <v/>
      </c>
      <c r="V5" s="16">
        <f>IF(21&lt;='Parámetros'!$B$5,0,'Parámetros'!$B$6*(1+'Parámetros'!$B$8)^1)</f>
        <v/>
      </c>
      <c r="W5" s="16">
        <f>IF(22&lt;='Parámetros'!$B$5,0,'Parámetros'!$B$6*(1+'Parámetros'!$B$8)^1)</f>
        <v/>
      </c>
      <c r="X5" s="16">
        <f>IF(23&lt;='Parámetros'!$B$5,0,'Parámetros'!$B$6*(1+'Parámetros'!$B$8)^1)</f>
        <v/>
      </c>
      <c r="Y5" s="16">
        <f>IF(24&lt;='Parámetros'!$B$5,0,'Parámetros'!$B$6*(1+'Parámetros'!$B$8)^1)</f>
        <v/>
      </c>
      <c r="Z5" s="16">
        <f>IF(25&lt;='Parámetros'!$B$5,0,'Parámetros'!$B$6*(1+'Parámetros'!$B$8)^2)</f>
        <v/>
      </c>
      <c r="AA5" s="16">
        <f>IF(26&lt;='Parámetros'!$B$5,0,'Parámetros'!$B$6*(1+'Parámetros'!$B$8)^2)</f>
        <v/>
      </c>
      <c r="AB5" s="16">
        <f>IF(27&lt;='Parámetros'!$B$5,0,'Parámetros'!$B$6*(1+'Parámetros'!$B$8)^2)</f>
        <v/>
      </c>
      <c r="AC5" s="16">
        <f>IF(28&lt;='Parámetros'!$B$5,0,'Parámetros'!$B$6*(1+'Parámetros'!$B$8)^2)</f>
        <v/>
      </c>
      <c r="AD5" s="16">
        <f>IF(29&lt;='Parámetros'!$B$5,0,'Parámetros'!$B$6*(1+'Parámetros'!$B$8)^2)</f>
        <v/>
      </c>
      <c r="AE5" s="16">
        <f>IF(30&lt;='Parámetros'!$B$5,0,'Parámetros'!$B$6*(1+'Parámetros'!$B$8)^2)</f>
        <v/>
      </c>
      <c r="AF5" s="16">
        <f>IF(31&lt;='Parámetros'!$B$5,0,'Parámetros'!$B$6*(1+'Parámetros'!$B$8)^2)</f>
        <v/>
      </c>
      <c r="AG5" s="16">
        <f>IF(32&lt;='Parámetros'!$B$5,0,'Parámetros'!$B$6*(1+'Parámetros'!$B$8)^2)</f>
        <v/>
      </c>
      <c r="AH5" s="16">
        <f>IF(33&lt;='Parámetros'!$B$5,0,'Parámetros'!$B$6*(1+'Parámetros'!$B$8)^2)</f>
        <v/>
      </c>
      <c r="AI5" s="16">
        <f>IF(34&lt;='Parámetros'!$B$5,0,'Parámetros'!$B$6*(1+'Parámetros'!$B$8)^2)</f>
        <v/>
      </c>
      <c r="AJ5" s="16">
        <f>IF(35&lt;='Parámetros'!$B$5,0,'Parámetros'!$B$6*(1+'Parámetros'!$B$8)^2)</f>
        <v/>
      </c>
      <c r="AK5" s="16">
        <f>IF(36&lt;='Parámetros'!$B$5,0,'Parámetros'!$B$6*(1+'Parámetros'!$B$8)^2)</f>
        <v/>
      </c>
      <c r="AL5" s="17">
        <f>AVERAGE(B5:AK5)</f>
        <v/>
      </c>
    </row>
    <row r="6" ht="20" customHeight="1">
      <c r="A6" s="5" t="inlineStr">
        <is>
          <t>Noches del mes</t>
        </is>
      </c>
      <c r="B6" s="18">
        <f>IF(1&lt;='Parámetros'!$B$5,0,'Parámetros'!$B$7)</f>
        <v/>
      </c>
      <c r="C6" s="18">
        <f>IF(2&lt;='Parámetros'!$B$5,0,'Parámetros'!$B$7)</f>
        <v/>
      </c>
      <c r="D6" s="18">
        <f>IF(3&lt;='Parámetros'!$B$5,0,'Parámetros'!$B$7)</f>
        <v/>
      </c>
      <c r="E6" s="18">
        <f>IF(4&lt;='Parámetros'!$B$5,0,'Parámetros'!$B$7)</f>
        <v/>
      </c>
      <c r="F6" s="18">
        <f>IF(5&lt;='Parámetros'!$B$5,0,'Parámetros'!$B$7)</f>
        <v/>
      </c>
      <c r="G6" s="18">
        <f>IF(6&lt;='Parámetros'!$B$5,0,'Parámetros'!$B$7)</f>
        <v/>
      </c>
      <c r="H6" s="19">
        <f>IF(7&lt;='Parámetros'!$B$5,0,'Parámetros'!$B$7)</f>
        <v/>
      </c>
      <c r="I6" s="19">
        <f>IF(8&lt;='Parámetros'!$B$5,0,'Parámetros'!$B$7)</f>
        <v/>
      </c>
      <c r="J6" s="19">
        <f>IF(9&lt;='Parámetros'!$B$5,0,'Parámetros'!$B$7)</f>
        <v/>
      </c>
      <c r="K6" s="19">
        <f>IF(10&lt;='Parámetros'!$B$5,0,'Parámetros'!$B$7)</f>
        <v/>
      </c>
      <c r="L6" s="19">
        <f>IF(11&lt;='Parámetros'!$B$5,0,'Parámetros'!$B$7)</f>
        <v/>
      </c>
      <c r="M6" s="19">
        <f>IF(12&lt;='Parámetros'!$B$5,0,'Parámetros'!$B$7)</f>
        <v/>
      </c>
      <c r="N6" s="19">
        <f>IF(13&lt;='Parámetros'!$B$5,0,'Parámetros'!$B$7)</f>
        <v/>
      </c>
      <c r="O6" s="19">
        <f>IF(14&lt;='Parámetros'!$B$5,0,'Parámetros'!$B$7)</f>
        <v/>
      </c>
      <c r="P6" s="19">
        <f>IF(15&lt;='Parámetros'!$B$5,0,'Parámetros'!$B$7)</f>
        <v/>
      </c>
      <c r="Q6" s="19">
        <f>IF(16&lt;='Parámetros'!$B$5,0,'Parámetros'!$B$7)</f>
        <v/>
      </c>
      <c r="R6" s="19">
        <f>IF(17&lt;='Parámetros'!$B$5,0,'Parámetros'!$B$7)</f>
        <v/>
      </c>
      <c r="S6" s="19">
        <f>IF(18&lt;='Parámetros'!$B$5,0,'Parámetros'!$B$7)</f>
        <v/>
      </c>
      <c r="T6" s="19">
        <f>IF(19&lt;='Parámetros'!$B$5,0,'Parámetros'!$B$7)</f>
        <v/>
      </c>
      <c r="U6" s="19">
        <f>IF(20&lt;='Parámetros'!$B$5,0,'Parámetros'!$B$7)</f>
        <v/>
      </c>
      <c r="V6" s="19">
        <f>IF(21&lt;='Parámetros'!$B$5,0,'Parámetros'!$B$7)</f>
        <v/>
      </c>
      <c r="W6" s="19">
        <f>IF(22&lt;='Parámetros'!$B$5,0,'Parámetros'!$B$7)</f>
        <v/>
      </c>
      <c r="X6" s="19">
        <f>IF(23&lt;='Parámetros'!$B$5,0,'Parámetros'!$B$7)</f>
        <v/>
      </c>
      <c r="Y6" s="19">
        <f>IF(24&lt;='Parámetros'!$B$5,0,'Parámetros'!$B$7)</f>
        <v/>
      </c>
      <c r="Z6" s="19">
        <f>IF(25&lt;='Parámetros'!$B$5,0,'Parámetros'!$B$7)</f>
        <v/>
      </c>
      <c r="AA6" s="19">
        <f>IF(26&lt;='Parámetros'!$B$5,0,'Parámetros'!$B$7)</f>
        <v/>
      </c>
      <c r="AB6" s="19">
        <f>IF(27&lt;='Parámetros'!$B$5,0,'Parámetros'!$B$7)</f>
        <v/>
      </c>
      <c r="AC6" s="19">
        <f>IF(28&lt;='Parámetros'!$B$5,0,'Parámetros'!$B$7)</f>
        <v/>
      </c>
      <c r="AD6" s="19">
        <f>IF(29&lt;='Parámetros'!$B$5,0,'Parámetros'!$B$7)</f>
        <v/>
      </c>
      <c r="AE6" s="19">
        <f>IF(30&lt;='Parámetros'!$B$5,0,'Parámetros'!$B$7)</f>
        <v/>
      </c>
      <c r="AF6" s="19">
        <f>IF(31&lt;='Parámetros'!$B$5,0,'Parámetros'!$B$7)</f>
        <v/>
      </c>
      <c r="AG6" s="19">
        <f>IF(32&lt;='Parámetros'!$B$5,0,'Parámetros'!$B$7)</f>
        <v/>
      </c>
      <c r="AH6" s="19">
        <f>IF(33&lt;='Parámetros'!$B$5,0,'Parámetros'!$B$7)</f>
        <v/>
      </c>
      <c r="AI6" s="19">
        <f>IF(34&lt;='Parámetros'!$B$5,0,'Parámetros'!$B$7)</f>
        <v/>
      </c>
      <c r="AJ6" s="19">
        <f>IF(35&lt;='Parámetros'!$B$5,0,'Parámetros'!$B$7)</f>
        <v/>
      </c>
      <c r="AK6" s="19">
        <f>IF(36&lt;='Parámetros'!$B$5,0,'Parámetros'!$B$7)</f>
        <v/>
      </c>
      <c r="AL6" s="20">
        <f>SUM(B6:AK6)</f>
        <v/>
      </c>
    </row>
    <row r="7" ht="20" customHeight="1">
      <c r="A7" s="5" t="inlineStr">
        <is>
          <t>Ingresos Brutos  (CLP)</t>
        </is>
      </c>
      <c r="B7" s="15">
        <f>B5*B6</f>
        <v/>
      </c>
      <c r="C7" s="15">
        <f>C5*C6</f>
        <v/>
      </c>
      <c r="D7" s="15">
        <f>D5*D6</f>
        <v/>
      </c>
      <c r="E7" s="15">
        <f>E5*E6</f>
        <v/>
      </c>
      <c r="F7" s="15">
        <f>F5*F6</f>
        <v/>
      </c>
      <c r="G7" s="15">
        <f>G5*G6</f>
        <v/>
      </c>
      <c r="H7" s="16">
        <f>H5*H6</f>
        <v/>
      </c>
      <c r="I7" s="16">
        <f>I5*I6</f>
        <v/>
      </c>
      <c r="J7" s="16">
        <f>J5*J6</f>
        <v/>
      </c>
      <c r="K7" s="16">
        <f>K5*K6</f>
        <v/>
      </c>
      <c r="L7" s="16">
        <f>L5*L6</f>
        <v/>
      </c>
      <c r="M7" s="16">
        <f>M5*M6</f>
        <v/>
      </c>
      <c r="N7" s="16">
        <f>N5*N6</f>
        <v/>
      </c>
      <c r="O7" s="16">
        <f>O5*O6</f>
        <v/>
      </c>
      <c r="P7" s="16">
        <f>P5*P6</f>
        <v/>
      </c>
      <c r="Q7" s="16">
        <f>Q5*Q6</f>
        <v/>
      </c>
      <c r="R7" s="16">
        <f>R5*R6</f>
        <v/>
      </c>
      <c r="S7" s="16">
        <f>S5*S6</f>
        <v/>
      </c>
      <c r="T7" s="16">
        <f>T5*T6</f>
        <v/>
      </c>
      <c r="U7" s="16">
        <f>U5*U6</f>
        <v/>
      </c>
      <c r="V7" s="16">
        <f>V5*V6</f>
        <v/>
      </c>
      <c r="W7" s="16">
        <f>W5*W6</f>
        <v/>
      </c>
      <c r="X7" s="16">
        <f>X5*X6</f>
        <v/>
      </c>
      <c r="Y7" s="16">
        <f>Y5*Y6</f>
        <v/>
      </c>
      <c r="Z7" s="16">
        <f>Z5*Z6</f>
        <v/>
      </c>
      <c r="AA7" s="16">
        <f>AA5*AA6</f>
        <v/>
      </c>
      <c r="AB7" s="16">
        <f>AB5*AB6</f>
        <v/>
      </c>
      <c r="AC7" s="16">
        <f>AC5*AC6</f>
        <v/>
      </c>
      <c r="AD7" s="16">
        <f>AD5*AD6</f>
        <v/>
      </c>
      <c r="AE7" s="16">
        <f>AE5*AE6</f>
        <v/>
      </c>
      <c r="AF7" s="16">
        <f>AF5*AF6</f>
        <v/>
      </c>
      <c r="AG7" s="16">
        <f>AG5*AG6</f>
        <v/>
      </c>
      <c r="AH7" s="16">
        <f>AH5*AH6</f>
        <v/>
      </c>
      <c r="AI7" s="16">
        <f>AI5*AI6</f>
        <v/>
      </c>
      <c r="AJ7" s="16">
        <f>AJ5*AJ6</f>
        <v/>
      </c>
      <c r="AK7" s="16">
        <f>AK5*AK6</f>
        <v/>
      </c>
      <c r="AL7" s="17">
        <f>SUM(B7:AK7)</f>
        <v/>
      </c>
    </row>
    <row r="8" ht="20" customHeight="1">
      <c r="A8" s="5" t="inlineStr">
        <is>
          <t>( - ) Comisión admin / Airbnb</t>
        </is>
      </c>
      <c r="B8" s="15">
        <f>B7*'Parámetros'!$B$11</f>
        <v/>
      </c>
      <c r="C8" s="15">
        <f>C7*'Parámetros'!$B$11</f>
        <v/>
      </c>
      <c r="D8" s="15">
        <f>D7*'Parámetros'!$B$11</f>
        <v/>
      </c>
      <c r="E8" s="15">
        <f>E7*'Parámetros'!$B$11</f>
        <v/>
      </c>
      <c r="F8" s="15">
        <f>F7*'Parámetros'!$B$11</f>
        <v/>
      </c>
      <c r="G8" s="15">
        <f>G7*'Parámetros'!$B$11</f>
        <v/>
      </c>
      <c r="H8" s="21">
        <f>H7*'Parámetros'!$B$11</f>
        <v/>
      </c>
      <c r="I8" s="21">
        <f>I7*'Parámetros'!$B$11</f>
        <v/>
      </c>
      <c r="J8" s="21">
        <f>J7*'Parámetros'!$B$11</f>
        <v/>
      </c>
      <c r="K8" s="21">
        <f>K7*'Parámetros'!$B$11</f>
        <v/>
      </c>
      <c r="L8" s="21">
        <f>L7*'Parámetros'!$B$11</f>
        <v/>
      </c>
      <c r="M8" s="21">
        <f>M7*'Parámetros'!$B$11</f>
        <v/>
      </c>
      <c r="N8" s="21">
        <f>N7*'Parámetros'!$B$11</f>
        <v/>
      </c>
      <c r="O8" s="21">
        <f>O7*'Parámetros'!$B$11</f>
        <v/>
      </c>
      <c r="P8" s="21">
        <f>P7*'Parámetros'!$B$11</f>
        <v/>
      </c>
      <c r="Q8" s="21">
        <f>Q7*'Parámetros'!$B$11</f>
        <v/>
      </c>
      <c r="R8" s="21">
        <f>R7*'Parámetros'!$B$11</f>
        <v/>
      </c>
      <c r="S8" s="21">
        <f>S7*'Parámetros'!$B$11</f>
        <v/>
      </c>
      <c r="T8" s="21">
        <f>T7*'Parámetros'!$B$11</f>
        <v/>
      </c>
      <c r="U8" s="21">
        <f>U7*'Parámetros'!$B$11</f>
        <v/>
      </c>
      <c r="V8" s="21">
        <f>V7*'Parámetros'!$B$11</f>
        <v/>
      </c>
      <c r="W8" s="21">
        <f>W7*'Parámetros'!$B$11</f>
        <v/>
      </c>
      <c r="X8" s="21">
        <f>X7*'Parámetros'!$B$11</f>
        <v/>
      </c>
      <c r="Y8" s="21">
        <f>Y7*'Parámetros'!$B$11</f>
        <v/>
      </c>
      <c r="Z8" s="21">
        <f>Z7*'Parámetros'!$B$11</f>
        <v/>
      </c>
      <c r="AA8" s="21">
        <f>AA7*'Parámetros'!$B$11</f>
        <v/>
      </c>
      <c r="AB8" s="21">
        <f>AB7*'Parámetros'!$B$11</f>
        <v/>
      </c>
      <c r="AC8" s="21">
        <f>AC7*'Parámetros'!$B$11</f>
        <v/>
      </c>
      <c r="AD8" s="21">
        <f>AD7*'Parámetros'!$B$11</f>
        <v/>
      </c>
      <c r="AE8" s="21">
        <f>AE7*'Parámetros'!$B$11</f>
        <v/>
      </c>
      <c r="AF8" s="21">
        <f>AF7*'Parámetros'!$B$11</f>
        <v/>
      </c>
      <c r="AG8" s="21">
        <f>AG7*'Parámetros'!$B$11</f>
        <v/>
      </c>
      <c r="AH8" s="21">
        <f>AH7*'Parámetros'!$B$11</f>
        <v/>
      </c>
      <c r="AI8" s="21">
        <f>AI7*'Parámetros'!$B$11</f>
        <v/>
      </c>
      <c r="AJ8" s="21">
        <f>AJ7*'Parámetros'!$B$11</f>
        <v/>
      </c>
      <c r="AK8" s="21">
        <f>AK7*'Parámetros'!$B$11</f>
        <v/>
      </c>
      <c r="AL8" s="17">
        <f>SUM(B8:AK8)</f>
        <v/>
      </c>
    </row>
    <row r="9" ht="20" customHeight="1">
      <c r="A9" s="22" t="inlineStr">
        <is>
          <t>INGRESOS NETOS  (CLP)</t>
        </is>
      </c>
      <c r="B9" s="23">
        <f>B7-B8</f>
        <v/>
      </c>
      <c r="C9" s="23">
        <f>C7-C8</f>
        <v/>
      </c>
      <c r="D9" s="23">
        <f>D7-D8</f>
        <v/>
      </c>
      <c r="E9" s="23">
        <f>E7-E8</f>
        <v/>
      </c>
      <c r="F9" s="23">
        <f>F7-F8</f>
        <v/>
      </c>
      <c r="G9" s="23">
        <f>G7-G8</f>
        <v/>
      </c>
      <c r="H9" s="24">
        <f>H7-H8</f>
        <v/>
      </c>
      <c r="I9" s="24">
        <f>I7-I8</f>
        <v/>
      </c>
      <c r="J9" s="24">
        <f>J7-J8</f>
        <v/>
      </c>
      <c r="K9" s="24">
        <f>K7-K8</f>
        <v/>
      </c>
      <c r="L9" s="24">
        <f>L7-L8</f>
        <v/>
      </c>
      <c r="M9" s="24">
        <f>M7-M8</f>
        <v/>
      </c>
      <c r="N9" s="24">
        <f>N7-N8</f>
        <v/>
      </c>
      <c r="O9" s="24">
        <f>O7-O8</f>
        <v/>
      </c>
      <c r="P9" s="24">
        <f>P7-P8</f>
        <v/>
      </c>
      <c r="Q9" s="24">
        <f>Q7-Q8</f>
        <v/>
      </c>
      <c r="R9" s="24">
        <f>R7-R8</f>
        <v/>
      </c>
      <c r="S9" s="24">
        <f>S7-S8</f>
        <v/>
      </c>
      <c r="T9" s="24">
        <f>T7-T8</f>
        <v/>
      </c>
      <c r="U9" s="24">
        <f>U7-U8</f>
        <v/>
      </c>
      <c r="V9" s="24">
        <f>V7-V8</f>
        <v/>
      </c>
      <c r="W9" s="24">
        <f>W7-W8</f>
        <v/>
      </c>
      <c r="X9" s="24">
        <f>X7-X8</f>
        <v/>
      </c>
      <c r="Y9" s="24">
        <f>Y7-Y8</f>
        <v/>
      </c>
      <c r="Z9" s="24">
        <f>Z7-Z8</f>
        <v/>
      </c>
      <c r="AA9" s="24">
        <f>AA7-AA8</f>
        <v/>
      </c>
      <c r="AB9" s="24">
        <f>AB7-AB8</f>
        <v/>
      </c>
      <c r="AC9" s="24">
        <f>AC7-AC8</f>
        <v/>
      </c>
      <c r="AD9" s="24">
        <f>AD7-AD8</f>
        <v/>
      </c>
      <c r="AE9" s="24">
        <f>AE7-AE8</f>
        <v/>
      </c>
      <c r="AF9" s="24">
        <f>AF7-AF8</f>
        <v/>
      </c>
      <c r="AG9" s="24">
        <f>AG7-AG8</f>
        <v/>
      </c>
      <c r="AH9" s="24">
        <f>AH7-AH8</f>
        <v/>
      </c>
      <c r="AI9" s="24">
        <f>AI7-AI8</f>
        <v/>
      </c>
      <c r="AJ9" s="24">
        <f>AJ7-AJ8</f>
        <v/>
      </c>
      <c r="AK9" s="24">
        <f>AK7-AK8</f>
        <v/>
      </c>
      <c r="AL9" s="17">
        <f>SUM(B9:AK9)</f>
        <v/>
      </c>
    </row>
    <row r="10" ht="22" customHeight="1">
      <c r="A10" s="25" t="inlineStr">
        <is>
          <t>EGRESOS FIJOS</t>
        </is>
      </c>
    </row>
    <row r="11" ht="20" customHeight="1">
      <c r="A11" s="5" t="inlineStr">
        <is>
          <t>Gastos Comunes</t>
        </is>
      </c>
      <c r="B11" s="16">
        <f>'Parámetros'!$B$12</f>
        <v/>
      </c>
      <c r="C11" s="16">
        <f>'Parámetros'!$B$12</f>
        <v/>
      </c>
      <c r="D11" s="16">
        <f>'Parámetros'!$B$12</f>
        <v/>
      </c>
      <c r="E11" s="16">
        <f>'Parámetros'!$B$12</f>
        <v/>
      </c>
      <c r="F11" s="16">
        <f>'Parámetros'!$B$12</f>
        <v/>
      </c>
      <c r="G11" s="16">
        <f>'Parámetros'!$B$12</f>
        <v/>
      </c>
      <c r="H11" s="16">
        <f>'Parámetros'!$B$12</f>
        <v/>
      </c>
      <c r="I11" s="16">
        <f>'Parámetros'!$B$12</f>
        <v/>
      </c>
      <c r="J11" s="16">
        <f>'Parámetros'!$B$12</f>
        <v/>
      </c>
      <c r="K11" s="16">
        <f>'Parámetros'!$B$12</f>
        <v/>
      </c>
      <c r="L11" s="16">
        <f>'Parámetros'!$B$12</f>
        <v/>
      </c>
      <c r="M11" s="16">
        <f>'Parámetros'!$B$12</f>
        <v/>
      </c>
      <c r="N11" s="16">
        <f>'Parámetros'!$B$12</f>
        <v/>
      </c>
      <c r="O11" s="16">
        <f>'Parámetros'!$B$12</f>
        <v/>
      </c>
      <c r="P11" s="16">
        <f>'Parámetros'!$B$12</f>
        <v/>
      </c>
      <c r="Q11" s="16">
        <f>'Parámetros'!$B$12</f>
        <v/>
      </c>
      <c r="R11" s="16">
        <f>'Parámetros'!$B$12</f>
        <v/>
      </c>
      <c r="S11" s="16">
        <f>'Parámetros'!$B$12</f>
        <v/>
      </c>
      <c r="T11" s="16">
        <f>'Parámetros'!$B$12</f>
        <v/>
      </c>
      <c r="U11" s="16">
        <f>'Parámetros'!$B$12</f>
        <v/>
      </c>
      <c r="V11" s="16">
        <f>'Parámetros'!$B$12</f>
        <v/>
      </c>
      <c r="W11" s="16">
        <f>'Parámetros'!$B$12</f>
        <v/>
      </c>
      <c r="X11" s="16">
        <f>'Parámetros'!$B$12</f>
        <v/>
      </c>
      <c r="Y11" s="16">
        <f>'Parámetros'!$B$12</f>
        <v/>
      </c>
      <c r="Z11" s="16">
        <f>'Parámetros'!$B$12</f>
        <v/>
      </c>
      <c r="AA11" s="16">
        <f>'Parámetros'!$B$12</f>
        <v/>
      </c>
      <c r="AB11" s="16">
        <f>'Parámetros'!$B$12</f>
        <v/>
      </c>
      <c r="AC11" s="16">
        <f>'Parámetros'!$B$12</f>
        <v/>
      </c>
      <c r="AD11" s="16">
        <f>'Parámetros'!$B$12</f>
        <v/>
      </c>
      <c r="AE11" s="16">
        <f>'Parámetros'!$B$12</f>
        <v/>
      </c>
      <c r="AF11" s="16">
        <f>'Parámetros'!$B$12</f>
        <v/>
      </c>
      <c r="AG11" s="16">
        <f>'Parámetros'!$B$12</f>
        <v/>
      </c>
      <c r="AH11" s="16">
        <f>'Parámetros'!$B$12</f>
        <v/>
      </c>
      <c r="AI11" s="16">
        <f>'Parámetros'!$B$12</f>
        <v/>
      </c>
      <c r="AJ11" s="16">
        <f>'Parámetros'!$B$12</f>
        <v/>
      </c>
      <c r="AK11" s="16">
        <f>'Parámetros'!$B$12</f>
        <v/>
      </c>
      <c r="AL11" s="17">
        <f>SUM(B11:AK11)</f>
        <v/>
      </c>
    </row>
    <row r="12" ht="20" customHeight="1">
      <c r="A12" s="5" t="inlineStr">
        <is>
          <t>Servicios  (luz, agua, internet)</t>
        </is>
      </c>
      <c r="B12" s="21">
        <f>'Parámetros'!$B$13</f>
        <v/>
      </c>
      <c r="C12" s="21">
        <f>'Parámetros'!$B$13</f>
        <v/>
      </c>
      <c r="D12" s="21">
        <f>'Parámetros'!$B$13</f>
        <v/>
      </c>
      <c r="E12" s="21">
        <f>'Parámetros'!$B$13</f>
        <v/>
      </c>
      <c r="F12" s="21">
        <f>'Parámetros'!$B$13</f>
        <v/>
      </c>
      <c r="G12" s="21">
        <f>'Parámetros'!$B$13</f>
        <v/>
      </c>
      <c r="H12" s="21">
        <f>'Parámetros'!$B$13</f>
        <v/>
      </c>
      <c r="I12" s="21">
        <f>'Parámetros'!$B$13</f>
        <v/>
      </c>
      <c r="J12" s="21">
        <f>'Parámetros'!$B$13</f>
        <v/>
      </c>
      <c r="K12" s="21">
        <f>'Parámetros'!$B$13</f>
        <v/>
      </c>
      <c r="L12" s="21">
        <f>'Parámetros'!$B$13</f>
        <v/>
      </c>
      <c r="M12" s="21">
        <f>'Parámetros'!$B$13</f>
        <v/>
      </c>
      <c r="N12" s="21">
        <f>'Parámetros'!$B$13</f>
        <v/>
      </c>
      <c r="O12" s="21">
        <f>'Parámetros'!$B$13</f>
        <v/>
      </c>
      <c r="P12" s="21">
        <f>'Parámetros'!$B$13</f>
        <v/>
      </c>
      <c r="Q12" s="21">
        <f>'Parámetros'!$B$13</f>
        <v/>
      </c>
      <c r="R12" s="21">
        <f>'Parámetros'!$B$13</f>
        <v/>
      </c>
      <c r="S12" s="21">
        <f>'Parámetros'!$B$13</f>
        <v/>
      </c>
      <c r="T12" s="21">
        <f>'Parámetros'!$B$13</f>
        <v/>
      </c>
      <c r="U12" s="21">
        <f>'Parámetros'!$B$13</f>
        <v/>
      </c>
      <c r="V12" s="21">
        <f>'Parámetros'!$B$13</f>
        <v/>
      </c>
      <c r="W12" s="21">
        <f>'Parámetros'!$B$13</f>
        <v/>
      </c>
      <c r="X12" s="21">
        <f>'Parámetros'!$B$13</f>
        <v/>
      </c>
      <c r="Y12" s="21">
        <f>'Parámetros'!$B$13</f>
        <v/>
      </c>
      <c r="Z12" s="21">
        <f>'Parámetros'!$B$13</f>
        <v/>
      </c>
      <c r="AA12" s="21">
        <f>'Parámetros'!$B$13</f>
        <v/>
      </c>
      <c r="AB12" s="21">
        <f>'Parámetros'!$B$13</f>
        <v/>
      </c>
      <c r="AC12" s="21">
        <f>'Parámetros'!$B$13</f>
        <v/>
      </c>
      <c r="AD12" s="21">
        <f>'Parámetros'!$B$13</f>
        <v/>
      </c>
      <c r="AE12" s="21">
        <f>'Parámetros'!$B$13</f>
        <v/>
      </c>
      <c r="AF12" s="21">
        <f>'Parámetros'!$B$13</f>
        <v/>
      </c>
      <c r="AG12" s="21">
        <f>'Parámetros'!$B$13</f>
        <v/>
      </c>
      <c r="AH12" s="21">
        <f>'Parámetros'!$B$13</f>
        <v/>
      </c>
      <c r="AI12" s="21">
        <f>'Parámetros'!$B$13</f>
        <v/>
      </c>
      <c r="AJ12" s="21">
        <f>'Parámetros'!$B$13</f>
        <v/>
      </c>
      <c r="AK12" s="21">
        <f>'Parámetros'!$B$13</f>
        <v/>
      </c>
      <c r="AL12" s="17">
        <f>SUM(B12:AK12)</f>
        <v/>
      </c>
    </row>
    <row r="13" ht="20" customHeight="1">
      <c r="A13" s="5" t="inlineStr">
        <is>
          <t>Fondo de Mantención</t>
        </is>
      </c>
      <c r="B13" s="16">
        <f>'Parámetros'!$B$14</f>
        <v/>
      </c>
      <c r="C13" s="16">
        <f>'Parámetros'!$B$14</f>
        <v/>
      </c>
      <c r="D13" s="16">
        <f>'Parámetros'!$B$14</f>
        <v/>
      </c>
      <c r="E13" s="16">
        <f>'Parámetros'!$B$14</f>
        <v/>
      </c>
      <c r="F13" s="16">
        <f>'Parámetros'!$B$14</f>
        <v/>
      </c>
      <c r="G13" s="16">
        <f>'Parámetros'!$B$14</f>
        <v/>
      </c>
      <c r="H13" s="16">
        <f>'Parámetros'!$B$14</f>
        <v/>
      </c>
      <c r="I13" s="16">
        <f>'Parámetros'!$B$14</f>
        <v/>
      </c>
      <c r="J13" s="16">
        <f>'Parámetros'!$B$14</f>
        <v/>
      </c>
      <c r="K13" s="16">
        <f>'Parámetros'!$B$14</f>
        <v/>
      </c>
      <c r="L13" s="16">
        <f>'Parámetros'!$B$14</f>
        <v/>
      </c>
      <c r="M13" s="16">
        <f>'Parámetros'!$B$14</f>
        <v/>
      </c>
      <c r="N13" s="16">
        <f>'Parámetros'!$B$14</f>
        <v/>
      </c>
      <c r="O13" s="16">
        <f>'Parámetros'!$B$14</f>
        <v/>
      </c>
      <c r="P13" s="16">
        <f>'Parámetros'!$B$14</f>
        <v/>
      </c>
      <c r="Q13" s="16">
        <f>'Parámetros'!$B$14</f>
        <v/>
      </c>
      <c r="R13" s="16">
        <f>'Parámetros'!$B$14</f>
        <v/>
      </c>
      <c r="S13" s="16">
        <f>'Parámetros'!$B$14</f>
        <v/>
      </c>
      <c r="T13" s="16">
        <f>'Parámetros'!$B$14</f>
        <v/>
      </c>
      <c r="U13" s="16">
        <f>'Parámetros'!$B$14</f>
        <v/>
      </c>
      <c r="V13" s="16">
        <f>'Parámetros'!$B$14</f>
        <v/>
      </c>
      <c r="W13" s="16">
        <f>'Parámetros'!$B$14</f>
        <v/>
      </c>
      <c r="X13" s="16">
        <f>'Parámetros'!$B$14</f>
        <v/>
      </c>
      <c r="Y13" s="16">
        <f>'Parámetros'!$B$14</f>
        <v/>
      </c>
      <c r="Z13" s="16">
        <f>'Parámetros'!$B$14</f>
        <v/>
      </c>
      <c r="AA13" s="16">
        <f>'Parámetros'!$B$14</f>
        <v/>
      </c>
      <c r="AB13" s="16">
        <f>'Parámetros'!$B$14</f>
        <v/>
      </c>
      <c r="AC13" s="16">
        <f>'Parámetros'!$B$14</f>
        <v/>
      </c>
      <c r="AD13" s="16">
        <f>'Parámetros'!$B$14</f>
        <v/>
      </c>
      <c r="AE13" s="16">
        <f>'Parámetros'!$B$14</f>
        <v/>
      </c>
      <c r="AF13" s="16">
        <f>'Parámetros'!$B$14</f>
        <v/>
      </c>
      <c r="AG13" s="16">
        <f>'Parámetros'!$B$14</f>
        <v/>
      </c>
      <c r="AH13" s="16">
        <f>'Parámetros'!$B$14</f>
        <v/>
      </c>
      <c r="AI13" s="16">
        <f>'Parámetros'!$B$14</f>
        <v/>
      </c>
      <c r="AJ13" s="16">
        <f>'Parámetros'!$B$14</f>
        <v/>
      </c>
      <c r="AK13" s="16">
        <f>'Parámetros'!$B$14</f>
        <v/>
      </c>
      <c r="AL13" s="17">
        <f>SUM(B13:AK13)</f>
        <v/>
      </c>
    </row>
    <row r="14" ht="20" customHeight="1">
      <c r="A14" s="5" t="inlineStr">
        <is>
          <t>Dividendo / Arriendo</t>
        </is>
      </c>
      <c r="B14" s="21">
        <f>'Parámetros'!$B$15</f>
        <v/>
      </c>
      <c r="C14" s="21">
        <f>'Parámetros'!$B$15</f>
        <v/>
      </c>
      <c r="D14" s="21">
        <f>'Parámetros'!$B$15</f>
        <v/>
      </c>
      <c r="E14" s="21">
        <f>'Parámetros'!$B$15</f>
        <v/>
      </c>
      <c r="F14" s="21">
        <f>'Parámetros'!$B$15</f>
        <v/>
      </c>
      <c r="G14" s="21">
        <f>'Parámetros'!$B$15</f>
        <v/>
      </c>
      <c r="H14" s="21">
        <f>'Parámetros'!$B$15</f>
        <v/>
      </c>
      <c r="I14" s="21">
        <f>'Parámetros'!$B$15</f>
        <v/>
      </c>
      <c r="J14" s="21">
        <f>'Parámetros'!$B$15</f>
        <v/>
      </c>
      <c r="K14" s="21">
        <f>'Parámetros'!$B$15</f>
        <v/>
      </c>
      <c r="L14" s="21">
        <f>'Parámetros'!$B$15</f>
        <v/>
      </c>
      <c r="M14" s="21">
        <f>'Parámetros'!$B$15</f>
        <v/>
      </c>
      <c r="N14" s="21">
        <f>'Parámetros'!$B$15</f>
        <v/>
      </c>
      <c r="O14" s="21">
        <f>'Parámetros'!$B$15</f>
        <v/>
      </c>
      <c r="P14" s="21">
        <f>'Parámetros'!$B$15</f>
        <v/>
      </c>
      <c r="Q14" s="21">
        <f>'Parámetros'!$B$15</f>
        <v/>
      </c>
      <c r="R14" s="21">
        <f>'Parámetros'!$B$15</f>
        <v/>
      </c>
      <c r="S14" s="21">
        <f>'Parámetros'!$B$15</f>
        <v/>
      </c>
      <c r="T14" s="21">
        <f>'Parámetros'!$B$15</f>
        <v/>
      </c>
      <c r="U14" s="21">
        <f>'Parámetros'!$B$15</f>
        <v/>
      </c>
      <c r="V14" s="21">
        <f>'Parámetros'!$B$15</f>
        <v/>
      </c>
      <c r="W14" s="21">
        <f>'Parámetros'!$B$15</f>
        <v/>
      </c>
      <c r="X14" s="21">
        <f>'Parámetros'!$B$15</f>
        <v/>
      </c>
      <c r="Y14" s="21">
        <f>'Parámetros'!$B$15</f>
        <v/>
      </c>
      <c r="Z14" s="21">
        <f>'Parámetros'!$B$15</f>
        <v/>
      </c>
      <c r="AA14" s="21">
        <f>'Parámetros'!$B$15</f>
        <v/>
      </c>
      <c r="AB14" s="21">
        <f>'Parámetros'!$B$15</f>
        <v/>
      </c>
      <c r="AC14" s="21">
        <f>'Parámetros'!$B$15</f>
        <v/>
      </c>
      <c r="AD14" s="21">
        <f>'Parámetros'!$B$15</f>
        <v/>
      </c>
      <c r="AE14" s="21">
        <f>'Parámetros'!$B$15</f>
        <v/>
      </c>
      <c r="AF14" s="21">
        <f>'Parámetros'!$B$15</f>
        <v/>
      </c>
      <c r="AG14" s="21">
        <f>'Parámetros'!$B$15</f>
        <v/>
      </c>
      <c r="AH14" s="21">
        <f>'Parámetros'!$B$15</f>
        <v/>
      </c>
      <c r="AI14" s="21">
        <f>'Parámetros'!$B$15</f>
        <v/>
      </c>
      <c r="AJ14" s="21">
        <f>'Parámetros'!$B$15</f>
        <v/>
      </c>
      <c r="AK14" s="21">
        <f>'Parámetros'!$B$15</f>
        <v/>
      </c>
      <c r="AL14" s="17">
        <f>SUM(B14:AK14)</f>
        <v/>
      </c>
    </row>
    <row r="15" ht="20" customHeight="1">
      <c r="A15" s="22" t="inlineStr">
        <is>
          <t>TOTAL EGRESOS</t>
        </is>
      </c>
      <c r="B15" s="26">
        <f>SUM(B11:B14)</f>
        <v/>
      </c>
      <c r="C15" s="26">
        <f>SUM(C11:C14)</f>
        <v/>
      </c>
      <c r="D15" s="26">
        <f>SUM(D11:D14)</f>
        <v/>
      </c>
      <c r="E15" s="26">
        <f>SUM(E11:E14)</f>
        <v/>
      </c>
      <c r="F15" s="26">
        <f>SUM(F11:F14)</f>
        <v/>
      </c>
      <c r="G15" s="26">
        <f>SUM(G11:G14)</f>
        <v/>
      </c>
      <c r="H15" s="27">
        <f>SUM(H11:H14)</f>
        <v/>
      </c>
      <c r="I15" s="27">
        <f>SUM(I11:I14)</f>
        <v/>
      </c>
      <c r="J15" s="27">
        <f>SUM(J11:J14)</f>
        <v/>
      </c>
      <c r="K15" s="27">
        <f>SUM(K11:K14)</f>
        <v/>
      </c>
      <c r="L15" s="27">
        <f>SUM(L11:L14)</f>
        <v/>
      </c>
      <c r="M15" s="27">
        <f>SUM(M11:M14)</f>
        <v/>
      </c>
      <c r="N15" s="27">
        <f>SUM(N11:N14)</f>
        <v/>
      </c>
      <c r="O15" s="27">
        <f>SUM(O11:O14)</f>
        <v/>
      </c>
      <c r="P15" s="27">
        <f>SUM(P11:P14)</f>
        <v/>
      </c>
      <c r="Q15" s="27">
        <f>SUM(Q11:Q14)</f>
        <v/>
      </c>
      <c r="R15" s="27">
        <f>SUM(R11:R14)</f>
        <v/>
      </c>
      <c r="S15" s="27">
        <f>SUM(S11:S14)</f>
        <v/>
      </c>
      <c r="T15" s="27">
        <f>SUM(T11:T14)</f>
        <v/>
      </c>
      <c r="U15" s="27">
        <f>SUM(U11:U14)</f>
        <v/>
      </c>
      <c r="V15" s="27">
        <f>SUM(V11:V14)</f>
        <v/>
      </c>
      <c r="W15" s="27">
        <f>SUM(W11:W14)</f>
        <v/>
      </c>
      <c r="X15" s="27">
        <f>SUM(X11:X14)</f>
        <v/>
      </c>
      <c r="Y15" s="27">
        <f>SUM(Y11:Y14)</f>
        <v/>
      </c>
      <c r="Z15" s="27">
        <f>SUM(Z11:Z14)</f>
        <v/>
      </c>
      <c r="AA15" s="27">
        <f>SUM(AA11:AA14)</f>
        <v/>
      </c>
      <c r="AB15" s="27">
        <f>SUM(AB11:AB14)</f>
        <v/>
      </c>
      <c r="AC15" s="27">
        <f>SUM(AC11:AC14)</f>
        <v/>
      </c>
      <c r="AD15" s="27">
        <f>SUM(AD11:AD14)</f>
        <v/>
      </c>
      <c r="AE15" s="27">
        <f>SUM(AE11:AE14)</f>
        <v/>
      </c>
      <c r="AF15" s="27">
        <f>SUM(AF11:AF14)</f>
        <v/>
      </c>
      <c r="AG15" s="27">
        <f>SUM(AG11:AG14)</f>
        <v/>
      </c>
      <c r="AH15" s="27">
        <f>SUM(AH11:AH14)</f>
        <v/>
      </c>
      <c r="AI15" s="27">
        <f>SUM(AI11:AI14)</f>
        <v/>
      </c>
      <c r="AJ15" s="27">
        <f>SUM(AJ11:AJ14)</f>
        <v/>
      </c>
      <c r="AK15" s="27">
        <f>SUM(AK11:AK14)</f>
        <v/>
      </c>
      <c r="AL15" s="17">
        <f>SUM(B15:AK15)</f>
        <v/>
      </c>
    </row>
    <row r="16" ht="22" customHeight="1">
      <c r="A16" s="28" t="inlineStr">
        <is>
          <t>RESULTADO</t>
        </is>
      </c>
    </row>
    <row r="17" ht="20" customHeight="1">
      <c r="A17" s="22" t="inlineStr">
        <is>
          <t>FLUJO NETO MENSUAL  (CLP)</t>
        </is>
      </c>
      <c r="B17" s="23">
        <f>B9-B15</f>
        <v/>
      </c>
      <c r="C17" s="23">
        <f>C9-C15</f>
        <v/>
      </c>
      <c r="D17" s="23">
        <f>D9-D15</f>
        <v/>
      </c>
      <c r="E17" s="23">
        <f>E9-E15</f>
        <v/>
      </c>
      <c r="F17" s="23">
        <f>F9-F15</f>
        <v/>
      </c>
      <c r="G17" s="23">
        <f>G9-G15</f>
        <v/>
      </c>
      <c r="H17" s="24">
        <f>H9-H15</f>
        <v/>
      </c>
      <c r="I17" s="24">
        <f>I9-I15</f>
        <v/>
      </c>
      <c r="J17" s="24">
        <f>J9-J15</f>
        <v/>
      </c>
      <c r="K17" s="24">
        <f>K9-K15</f>
        <v/>
      </c>
      <c r="L17" s="24">
        <f>L9-L15</f>
        <v/>
      </c>
      <c r="M17" s="24">
        <f>M9-M15</f>
        <v/>
      </c>
      <c r="N17" s="24">
        <f>N9-N15</f>
        <v/>
      </c>
      <c r="O17" s="24">
        <f>O9-O15</f>
        <v/>
      </c>
      <c r="P17" s="24">
        <f>P9-P15</f>
        <v/>
      </c>
      <c r="Q17" s="24">
        <f>Q9-Q15</f>
        <v/>
      </c>
      <c r="R17" s="24">
        <f>R9-R15</f>
        <v/>
      </c>
      <c r="S17" s="24">
        <f>S9-S15</f>
        <v/>
      </c>
      <c r="T17" s="24">
        <f>T9-T15</f>
        <v/>
      </c>
      <c r="U17" s="24">
        <f>U9-U15</f>
        <v/>
      </c>
      <c r="V17" s="24">
        <f>V9-V15</f>
        <v/>
      </c>
      <c r="W17" s="24">
        <f>W9-W15</f>
        <v/>
      </c>
      <c r="X17" s="24">
        <f>X9-X15</f>
        <v/>
      </c>
      <c r="Y17" s="24">
        <f>Y9-Y15</f>
        <v/>
      </c>
      <c r="Z17" s="24">
        <f>Z9-Z15</f>
        <v/>
      </c>
      <c r="AA17" s="24">
        <f>AA9-AA15</f>
        <v/>
      </c>
      <c r="AB17" s="24">
        <f>AB9-AB15</f>
        <v/>
      </c>
      <c r="AC17" s="24">
        <f>AC9-AC15</f>
        <v/>
      </c>
      <c r="AD17" s="24">
        <f>AD9-AD15</f>
        <v/>
      </c>
      <c r="AE17" s="24">
        <f>AE9-AE15</f>
        <v/>
      </c>
      <c r="AF17" s="24">
        <f>AF9-AF15</f>
        <v/>
      </c>
      <c r="AG17" s="24">
        <f>AG9-AG15</f>
        <v/>
      </c>
      <c r="AH17" s="24">
        <f>AH9-AH15</f>
        <v/>
      </c>
      <c r="AI17" s="24">
        <f>AI9-AI15</f>
        <v/>
      </c>
      <c r="AJ17" s="24">
        <f>AJ9-AJ15</f>
        <v/>
      </c>
      <c r="AK17" s="24">
        <f>AK9-AK15</f>
        <v/>
      </c>
      <c r="AL17" s="17">
        <f>SUM(B17:AK17)</f>
        <v/>
      </c>
    </row>
    <row r="18" ht="20" customHeight="1">
      <c r="A18" s="22" t="inlineStr">
        <is>
          <t>FLUJO ACUMULADO  (CLP)</t>
        </is>
      </c>
      <c r="B18" s="29">
        <f>-'Parámetros'!$B$18+B17</f>
        <v/>
      </c>
      <c r="C18" s="29">
        <f>B18+C17</f>
        <v/>
      </c>
      <c r="D18" s="29">
        <f>C18+D17</f>
        <v/>
      </c>
      <c r="E18" s="29">
        <f>D18+E17</f>
        <v/>
      </c>
      <c r="F18" s="29">
        <f>E18+F17</f>
        <v/>
      </c>
      <c r="G18" s="29">
        <f>F18+G17</f>
        <v/>
      </c>
      <c r="H18" s="30">
        <f>G18+H17</f>
        <v/>
      </c>
      <c r="I18" s="30">
        <f>H18+I17</f>
        <v/>
      </c>
      <c r="J18" s="30">
        <f>I18+J17</f>
        <v/>
      </c>
      <c r="K18" s="30">
        <f>J18+K17</f>
        <v/>
      </c>
      <c r="L18" s="30">
        <f>K18+L17</f>
        <v/>
      </c>
      <c r="M18" s="30">
        <f>L18+M17</f>
        <v/>
      </c>
      <c r="N18" s="30">
        <f>M18+N17</f>
        <v/>
      </c>
      <c r="O18" s="30">
        <f>N18+O17</f>
        <v/>
      </c>
      <c r="P18" s="30">
        <f>O18+P17</f>
        <v/>
      </c>
      <c r="Q18" s="30">
        <f>P18+Q17</f>
        <v/>
      </c>
      <c r="R18" s="30">
        <f>Q18+R17</f>
        <v/>
      </c>
      <c r="S18" s="30">
        <f>R18+S17</f>
        <v/>
      </c>
      <c r="T18" s="30">
        <f>S18+T17</f>
        <v/>
      </c>
      <c r="U18" s="30">
        <f>T18+U17</f>
        <v/>
      </c>
      <c r="V18" s="30">
        <f>U18+V17</f>
        <v/>
      </c>
      <c r="W18" s="30">
        <f>V18+W17</f>
        <v/>
      </c>
      <c r="X18" s="30">
        <f>W18+X17</f>
        <v/>
      </c>
      <c r="Y18" s="30">
        <f>X18+Y17</f>
        <v/>
      </c>
      <c r="Z18" s="30">
        <f>Y18+Z17</f>
        <v/>
      </c>
      <c r="AA18" s="30">
        <f>Z18+AA17</f>
        <v/>
      </c>
      <c r="AB18" s="30">
        <f>AA18+AB17</f>
        <v/>
      </c>
      <c r="AC18" s="30">
        <f>AB18+AC17</f>
        <v/>
      </c>
      <c r="AD18" s="30">
        <f>AC18+AD17</f>
        <v/>
      </c>
      <c r="AE18" s="30">
        <f>AD18+AE17</f>
        <v/>
      </c>
      <c r="AF18" s="30">
        <f>AE18+AF17</f>
        <v/>
      </c>
      <c r="AG18" s="30">
        <f>AF18+AG17</f>
        <v/>
      </c>
      <c r="AH18" s="30">
        <f>AG18+AH17</f>
        <v/>
      </c>
      <c r="AI18" s="30">
        <f>AH18+AI17</f>
        <v/>
      </c>
      <c r="AJ18" s="30">
        <f>AI18+AJ17</f>
        <v/>
      </c>
      <c r="AK18" s="30">
        <f>AJ18+AK17</f>
        <v/>
      </c>
      <c r="AL18" s="17">
        <f>AK18</f>
        <v/>
      </c>
    </row>
  </sheetData>
  <mergeCells count="4">
    <mergeCell ref="A1:AL1"/>
    <mergeCell ref="A10:AL10"/>
    <mergeCell ref="A4:AL4"/>
    <mergeCell ref="A16:AL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5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24" customWidth="1" min="2" max="2"/>
    <col width="4" customWidth="1" min="3" max="3"/>
  </cols>
  <sheetData>
    <row r="1" ht="40" customHeight="1">
      <c r="A1" s="1" t="inlineStr">
        <is>
          <t>RESUMEN EJECUTIVO  –  FLUJO DE CAJA AIRBNB</t>
        </is>
      </c>
    </row>
    <row r="2"/>
    <row r="3" ht="22" customHeight="1">
      <c r="A3" s="2" t="inlineStr">
        <is>
          <t>PARÁMETROS CLAVE</t>
        </is>
      </c>
    </row>
    <row r="4" ht="20" customHeight="1">
      <c r="A4" s="3" t="inlineStr">
        <is>
          <t>Inversión inicial (amoblado)</t>
        </is>
      </c>
      <c r="B4" s="31">
        <f>'Parámetros'!$B$18</f>
        <v/>
      </c>
    </row>
    <row r="5" ht="20" customHeight="1">
      <c r="A5" s="5" t="inlineStr">
        <is>
          <t>Horizonte de análisis</t>
        </is>
      </c>
      <c r="B5" s="32">
        <f>'Parámetros'!$B$4</f>
        <v/>
      </c>
    </row>
    <row r="6" ht="20" customHeight="1">
      <c r="A6" s="3" t="inlineStr">
        <is>
          <t>Meses de gracia (sin ingresos)</t>
        </is>
      </c>
      <c r="B6" s="33">
        <f>'Parámetros'!$B$5</f>
        <v/>
      </c>
    </row>
    <row r="7" ht="20" customHeight="1">
      <c r="A7" s="5" t="inlineStr">
        <is>
          <t>ADR inicial (CLP / noche)</t>
        </is>
      </c>
      <c r="B7" s="34">
        <f>'Parámetros'!$B$6</f>
        <v/>
      </c>
    </row>
    <row r="8" ht="20" customHeight="1">
      <c r="A8" s="3" t="inlineStr">
        <is>
          <t>Noches promedio / mes</t>
        </is>
      </c>
      <c r="B8" s="33">
        <f>'Parámetros'!$B$7</f>
        <v/>
      </c>
    </row>
    <row r="9" ht="20" customHeight="1">
      <c r="A9" s="5" t="inlineStr">
        <is>
          <t>Crecimiento anual ADR</t>
        </is>
      </c>
      <c r="B9" s="35">
        <f>'Parámetros'!$B$8</f>
        <v/>
      </c>
    </row>
    <row r="10" ht="20" customHeight="1">
      <c r="A10" s="3" t="inlineStr">
        <is>
          <t>Comisión admin / Airbnb</t>
        </is>
      </c>
      <c r="B10" s="36">
        <f>'Parámetros'!$B$11</f>
        <v/>
      </c>
    </row>
    <row r="11"/>
    <row r="12" ht="22" customHeight="1">
      <c r="A12" s="2" t="inlineStr">
        <is>
          <t>INGRESOS ESPERADOS (mensual, sin gracia)</t>
        </is>
      </c>
    </row>
    <row r="13" ht="20" customHeight="1">
      <c r="A13" s="5" t="inlineStr">
        <is>
          <t>Ingreso bruto mensual</t>
        </is>
      </c>
      <c r="B13" s="34">
        <f>'Parámetros'!$B$6*'Parámetros'!$B$7</f>
        <v/>
      </c>
    </row>
    <row r="14" ht="20" customHeight="1">
      <c r="A14" s="3" t="inlineStr">
        <is>
          <t>Comisión mensual</t>
        </is>
      </c>
      <c r="B14" s="31">
        <f>'Parámetros'!$B$6*'Parámetros'!$B$7*'Parámetros'!$B$11</f>
        <v/>
      </c>
    </row>
    <row r="15" ht="20" customHeight="1">
      <c r="A15" s="5" t="inlineStr">
        <is>
          <t>Ingreso neto mensual</t>
        </is>
      </c>
      <c r="B15" s="34">
        <f>'Parámetros'!$B$6*'Parámetros'!$B$7*(1-'Parámetros'!$B$11)</f>
        <v/>
      </c>
    </row>
    <row r="16"/>
    <row r="17" ht="22" customHeight="1">
      <c r="A17" s="2" t="inlineStr">
        <is>
          <t>EGRESOS FIJOS MENSUALES</t>
        </is>
      </c>
    </row>
    <row r="18" ht="20" customHeight="1">
      <c r="A18" s="3" t="inlineStr">
        <is>
          <t>Gastos comunes</t>
        </is>
      </c>
      <c r="B18" s="31">
        <f>'Parámetros'!$B$12</f>
        <v/>
      </c>
    </row>
    <row r="19" ht="20" customHeight="1">
      <c r="A19" s="5" t="inlineStr">
        <is>
          <t>Servicios (luz, agua, internet)</t>
        </is>
      </c>
      <c r="B19" s="34">
        <f>'Parámetros'!$B$13</f>
        <v/>
      </c>
    </row>
    <row r="20" ht="20" customHeight="1">
      <c r="A20" s="3" t="inlineStr">
        <is>
          <t>Fondo de mantención</t>
        </is>
      </c>
      <c r="B20" s="31">
        <f>'Parámetros'!$B$14</f>
        <v/>
      </c>
    </row>
    <row r="21" ht="20" customHeight="1">
      <c r="A21" s="5" t="inlineStr">
        <is>
          <t>Dividendo / arriendo</t>
        </is>
      </c>
      <c r="B21" s="34">
        <f>'Parámetros'!$B$15</f>
        <v/>
      </c>
    </row>
    <row r="22" ht="20" customHeight="1">
      <c r="A22" s="3" t="inlineStr">
        <is>
          <t>Total egresos fijos / mes</t>
        </is>
      </c>
      <c r="B22" s="31">
        <f>'Parámetros'!$B$12+'Parámetros'!$B$13+'Parámetros'!$B$14+'Parámetros'!$B$15</f>
        <v/>
      </c>
    </row>
    <row r="23" ht="20" customHeight="1">
      <c r="A23" s="5" t="inlineStr">
        <is>
          <t>Margen neto mensual esperado</t>
        </is>
      </c>
      <c r="B23" s="34">
        <f>'Parámetros'!$B$6*'Parámetros'!$B$7*(1-'Parámetros'!$B$11)-('Parámetros'!$B$12+'Parámetros'!$B$13+'Parámetros'!$B$14+'Parámetros'!$B$15)</f>
        <v/>
      </c>
    </row>
    <row r="24"/>
    <row r="25" ht="22" customHeight="1">
      <c r="A25" s="2" t="inlineStr">
        <is>
          <t>TOTALES  (36 meses)</t>
        </is>
      </c>
    </row>
    <row r="26" ht="20" customHeight="1">
      <c r="A26" s="3" t="inlineStr">
        <is>
          <t>Ingresos netos totales</t>
        </is>
      </c>
      <c r="B26" s="31">
        <f>'Flujo de Caja Mensual'!AL9</f>
        <v/>
      </c>
    </row>
    <row r="27" ht="20" customHeight="1">
      <c r="A27" s="5" t="inlineStr">
        <is>
          <t>Total egresos</t>
        </is>
      </c>
      <c r="B27" s="34">
        <f>'Flujo de Caja Mensual'!AL15</f>
        <v/>
      </c>
    </row>
    <row r="28" ht="20" customHeight="1">
      <c r="A28" s="3" t="inlineStr">
        <is>
          <t>Flujo neto total</t>
        </is>
      </c>
      <c r="B28" s="31">
        <f>'Flujo de Caja Mensual'!AL17</f>
        <v/>
      </c>
    </row>
    <row r="29" ht="20" customHeight="1">
      <c r="A29" s="5" t="inlineStr">
        <is>
          <t>Flujo acumulado final</t>
        </is>
      </c>
      <c r="B29" s="34" t="inlineStr">
        <is>
          <t>'Flujo de Caja Mensual'!AK18</t>
        </is>
      </c>
    </row>
    <row r="30"/>
    <row r="31" ht="22" customHeight="1">
      <c r="A31" s="2" t="inlineStr">
        <is>
          <t>INDICADORES FINANCIEROS</t>
        </is>
      </c>
    </row>
    <row r="32" ht="20" customHeight="1">
      <c r="A32" s="3" t="inlineStr">
        <is>
          <t>Tasa de descuento anual</t>
        </is>
      </c>
      <c r="B32" s="36">
        <f>'Parámetros'!$B$19</f>
        <v/>
      </c>
    </row>
    <row r="33" ht="20" customHeight="1">
      <c r="A33" s="5" t="inlineStr">
        <is>
          <t>Tasa de descuento mensual</t>
        </is>
      </c>
      <c r="B33" s="37">
        <f>(1+'Parámetros'!$B$19)^(1/12)-1</f>
        <v/>
      </c>
    </row>
    <row r="34" ht="20" customHeight="1">
      <c r="A34" s="3" t="inlineStr">
        <is>
          <t>VAN  (Valor Actual Neto)</t>
        </is>
      </c>
      <c r="B34" s="31">
        <f>NPV((1+'Parámetros'!$B$19)^(1/12)-1,'Flujo de Caja Mensual'!B17:AK17)-'Parámetros'!$B$18</f>
        <v/>
      </c>
    </row>
    <row r="35" ht="20" customHeight="1">
      <c r="A35" s="5" t="inlineStr">
        <is>
          <t>TIR mensual</t>
        </is>
      </c>
      <c r="B35" s="38">
        <f>IFERROR(IRR(B50:AL50),"N/D")</f>
        <v/>
      </c>
    </row>
    <row r="36" ht="20" customHeight="1">
      <c r="A36" s="3" t="inlineStr">
        <is>
          <t>TIR anual equiv.</t>
        </is>
      </c>
      <c r="B36" s="36">
        <f>IFERROR((1+IRR(B50:AL50))^12-1,"N/D")</f>
        <v/>
      </c>
    </row>
    <row r="37" ht="20" customHeight="1">
      <c r="A37" s="5" t="inlineStr">
        <is>
          <t>Payback (meses aprox.)</t>
        </is>
      </c>
      <c r="B37" s="39">
        <f>IFERROR(IF(COUNTIF('Flujo de Caja Mensual'!B18:AK18,"&lt;0")=36,"No recuperado en el horizonte",COUNTIF('Flujo de Caja Mensual'!B18:AK18,"&lt;0")&amp;" meses"),"N/D")</f>
        <v/>
      </c>
    </row>
    <row r="38"/>
    <row r="39"/>
    <row r="40"/>
    <row r="41" ht="36" customHeight="1">
      <c r="A41" s="8" t="inlineStr">
        <is>
          <t>Nota: VAN &gt; 0 indica que el proyecto supera la rentabilidad mínima exigida. TIR se calcula con la inversión inicial en t=0 y flujos netos mensuales t=1..36.</t>
        </is>
      </c>
    </row>
    <row r="42"/>
    <row r="43"/>
    <row r="44"/>
    <row r="45"/>
    <row r="46"/>
    <row r="47"/>
    <row r="48"/>
    <row r="49"/>
    <row r="50" ht="14" customHeight="1">
      <c r="A50" s="40" t="inlineStr">
        <is>
          <t>Helper TIR →</t>
        </is>
      </c>
      <c r="B50">
        <f>-'Parámetros'!$B$18</f>
        <v/>
      </c>
      <c r="C50">
        <f>'Flujo de Caja Mensual'!B17</f>
        <v/>
      </c>
      <c r="D50">
        <f>'Flujo de Caja Mensual'!C17</f>
        <v/>
      </c>
      <c r="E50">
        <f>'Flujo de Caja Mensual'!D17</f>
        <v/>
      </c>
      <c r="F50">
        <f>'Flujo de Caja Mensual'!E17</f>
        <v/>
      </c>
      <c r="G50">
        <f>'Flujo de Caja Mensual'!F17</f>
        <v/>
      </c>
      <c r="H50">
        <f>'Flujo de Caja Mensual'!G17</f>
        <v/>
      </c>
      <c r="I50">
        <f>'Flujo de Caja Mensual'!H17</f>
        <v/>
      </c>
      <c r="J50">
        <f>'Flujo de Caja Mensual'!I17</f>
        <v/>
      </c>
      <c r="K50">
        <f>'Flujo de Caja Mensual'!J17</f>
        <v/>
      </c>
      <c r="L50">
        <f>'Flujo de Caja Mensual'!K17</f>
        <v/>
      </c>
      <c r="M50">
        <f>'Flujo de Caja Mensual'!L17</f>
        <v/>
      </c>
      <c r="N50">
        <f>'Flujo de Caja Mensual'!M17</f>
        <v/>
      </c>
      <c r="O50">
        <f>'Flujo de Caja Mensual'!N17</f>
        <v/>
      </c>
      <c r="P50">
        <f>'Flujo de Caja Mensual'!O17</f>
        <v/>
      </c>
      <c r="Q50">
        <f>'Flujo de Caja Mensual'!P17</f>
        <v/>
      </c>
      <c r="R50">
        <f>'Flujo de Caja Mensual'!Q17</f>
        <v/>
      </c>
      <c r="S50">
        <f>'Flujo de Caja Mensual'!R17</f>
        <v/>
      </c>
      <c r="T50">
        <f>'Flujo de Caja Mensual'!S17</f>
        <v/>
      </c>
      <c r="U50">
        <f>'Flujo de Caja Mensual'!T17</f>
        <v/>
      </c>
      <c r="V50">
        <f>'Flujo de Caja Mensual'!U17</f>
        <v/>
      </c>
      <c r="W50">
        <f>'Flujo de Caja Mensual'!V17</f>
        <v/>
      </c>
      <c r="X50">
        <f>'Flujo de Caja Mensual'!W17</f>
        <v/>
      </c>
      <c r="Y50">
        <f>'Flujo de Caja Mensual'!X17</f>
        <v/>
      </c>
      <c r="Z50">
        <f>'Flujo de Caja Mensual'!Y17</f>
        <v/>
      </c>
      <c r="AA50">
        <f>'Flujo de Caja Mensual'!Z17</f>
        <v/>
      </c>
      <c r="AB50">
        <f>'Flujo de Caja Mensual'!AA17</f>
        <v/>
      </c>
      <c r="AC50">
        <f>'Flujo de Caja Mensual'!AB17</f>
        <v/>
      </c>
      <c r="AD50">
        <f>'Flujo de Caja Mensual'!AC17</f>
        <v/>
      </c>
      <c r="AE50">
        <f>'Flujo de Caja Mensual'!AD17</f>
        <v/>
      </c>
      <c r="AF50">
        <f>'Flujo de Caja Mensual'!AE17</f>
        <v/>
      </c>
      <c r="AG50">
        <f>'Flujo de Caja Mensual'!AF17</f>
        <v/>
      </c>
      <c r="AH50">
        <f>'Flujo de Caja Mensual'!AG17</f>
        <v/>
      </c>
      <c r="AI50">
        <f>'Flujo de Caja Mensual'!AH17</f>
        <v/>
      </c>
      <c r="AJ50">
        <f>'Flujo de Caja Mensual'!AI17</f>
        <v/>
      </c>
      <c r="AK50">
        <f>'Flujo de Caja Mensual'!AJ17</f>
        <v/>
      </c>
      <c r="AL50">
        <f>'Flujo de Caja Mensual'!AK17</f>
        <v/>
      </c>
    </row>
  </sheetData>
  <mergeCells count="7">
    <mergeCell ref="A25:B25"/>
    <mergeCell ref="A41:B41"/>
    <mergeCell ref="A1:B1"/>
    <mergeCell ref="A17:B17"/>
    <mergeCell ref="A31:B31"/>
    <mergeCell ref="A3:B3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2026-02-19T00:55:07Z</dcterms:created>
  <dcterms:modified xsi:type="dcterms:W3CDTF">2026-02-19T00:55:07Z</dcterms:modified>
</cp:coreProperties>
</file>