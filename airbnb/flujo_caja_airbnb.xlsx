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Flujo de Caja Mensual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1A1A2E"/>
      <sz val="10"/>
    </font>
    <font>
      <name val="Calibri"/>
      <b val="1"/>
      <color rgb="000F3460"/>
      <sz val="10"/>
    </font>
    <font>
      <name val="Calibri"/>
      <i val="1"/>
      <color rgb="00888888"/>
      <sz val="9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b val="1"/>
      <color rgb="00B71C1C"/>
      <sz val="10"/>
    </font>
    <font>
      <name val="Calibri"/>
      <b val="1"/>
      <color rgb="001A1A2E"/>
      <sz val="10"/>
    </font>
    <font>
      <name val="Calibri"/>
      <b val="1"/>
      <color rgb="00333333"/>
      <sz val="10"/>
    </font>
    <font>
      <name val="Calibri"/>
      <b val="1"/>
      <color rgb="001A6B3A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E94560"/>
      </patternFill>
    </fill>
    <fill>
      <patternFill patternType="solid">
        <fgColor rgb="00FFE0E0"/>
      </patternFill>
    </fill>
    <fill>
      <patternFill patternType="solid">
        <fgColor rgb="00EEF2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6" borderId="1" applyAlignment="1" pivotButton="0" quotePrefix="0" xfId="0">
      <alignment horizontal="left" vertical="center"/>
    </xf>
    <xf numFmtId="0" fontId="0" fillId="6" borderId="1" pivotButton="0" quotePrefix="0" xfId="0"/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right" vertical="center"/>
    </xf>
    <xf numFmtId="1" fontId="3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3" fontId="10" fillId="6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center" vertical="center"/>
    </xf>
    <xf numFmtId="3" fontId="3" fillId="9" borderId="1" applyAlignment="1" pivotButton="0" quotePrefix="0" xfId="0">
      <alignment horizontal="right" vertical="center"/>
    </xf>
    <xf numFmtId="3" fontId="9" fillId="9" borderId="1" applyAlignment="1" pivotButton="0" quotePrefix="0" xfId="0">
      <alignment horizontal="right" vertical="center"/>
    </xf>
    <xf numFmtId="3" fontId="8" fillId="9" borderId="1" applyAlignment="1" pivotButton="0" quotePrefix="0" xfId="0">
      <alignment horizontal="right" vertical="center"/>
    </xf>
    <xf numFmtId="3" fontId="10" fillId="9" borderId="1" applyAlignment="1" pivotButton="0" quotePrefix="0" xfId="0">
      <alignment horizontal="right" vertical="center"/>
    </xf>
    <xf numFmtId="1" fontId="3" fillId="6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right" vertical="center"/>
    </xf>
    <xf numFmtId="3" fontId="11" fillId="6" borderId="1" applyAlignment="1" pivotButton="0" quotePrefix="0" xfId="0">
      <alignment horizontal="right" vertical="center"/>
    </xf>
    <xf numFmtId="1" fontId="3" fillId="9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1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0" fontId="9" fillId="4" borderId="1" applyAlignment="1" pivotButton="0" quotePrefix="0" xfId="0">
      <alignment horizontal="right" vertical="center"/>
    </xf>
    <xf numFmtId="1" fontId="9" fillId="6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2" customWidth="1" min="4" max="4"/>
  </cols>
  <sheetData>
    <row r="1" ht="40" customHeight="1">
      <c r="A1" s="1" t="inlineStr">
        <is>
          <t>PARÁMETROS – FLUJO DE CAJA AIRBNB</t>
        </is>
      </c>
    </row>
    <row r="2" ht="20" customHeight="1"/>
    <row r="3">
      <c r="A3" s="2" t="inlineStr">
        <is>
          <t>HORIZONTE Y OPERACIÓN</t>
        </is>
      </c>
      <c r="B3" s="3" t="n"/>
      <c r="C3" s="3" t="n"/>
    </row>
    <row r="4">
      <c r="A4" s="4" t="inlineStr">
        <is>
          <t>Horizonte (meses)</t>
        </is>
      </c>
      <c r="B4" s="5" t="n">
        <v>36</v>
      </c>
      <c r="C4" s="6" t="n"/>
    </row>
    <row r="5">
      <c r="A5" s="7" t="inlineStr">
        <is>
          <t>Meses de gracia (sin ingresos)</t>
        </is>
      </c>
      <c r="B5" s="5" t="n">
        <v>6</v>
      </c>
      <c r="C5" s="8" t="n"/>
    </row>
    <row r="6">
      <c r="A6" s="4" t="inlineStr">
        <is>
          <t>ADR promedio (CLP / noche)</t>
        </is>
      </c>
      <c r="B6" s="9" t="n">
        <v>38000</v>
      </c>
      <c r="C6" s="6" t="n"/>
    </row>
    <row r="7">
      <c r="A7" s="7" t="inlineStr">
        <is>
          <t>Noches promedio por mes</t>
        </is>
      </c>
      <c r="B7" s="5" t="n">
        <v>21</v>
      </c>
      <c r="C7" s="8" t="n"/>
    </row>
    <row r="8">
      <c r="A8" s="4" t="inlineStr">
        <is>
          <t>Crecimiento anual ADR (%)</t>
        </is>
      </c>
      <c r="B8" s="10" t="n">
        <v>0.03</v>
      </c>
      <c r="C8" s="6" t="n"/>
    </row>
    <row r="10">
      <c r="A10" s="2" t="inlineStr">
        <is>
          <t>COSTOS OPERATIVOS (CLP/mes)</t>
        </is>
      </c>
      <c r="B10" s="3" t="n"/>
      <c r="C10" s="3" t="n"/>
    </row>
    <row r="11">
      <c r="A11" s="7" t="inlineStr">
        <is>
          <t>Comisión administración/Airbnb</t>
        </is>
      </c>
      <c r="B11" s="10" t="n">
        <v>0.18</v>
      </c>
      <c r="C11" s="8" t="n"/>
    </row>
    <row r="12">
      <c r="A12" s="4" t="inlineStr">
        <is>
          <t>Gastos comunes</t>
        </is>
      </c>
      <c r="B12" s="9" t="n">
        <v>90000</v>
      </c>
      <c r="C12" s="6" t="n"/>
    </row>
    <row r="13">
      <c r="A13" s="7" t="inlineStr">
        <is>
          <t>Servicios (luz, agua, internet)</t>
        </is>
      </c>
      <c r="B13" s="9" t="n">
        <v>60000</v>
      </c>
      <c r="C13" s="8" t="n"/>
    </row>
    <row r="14">
      <c r="A14" s="4" t="inlineStr">
        <is>
          <t>Fondo de mantención</t>
        </is>
      </c>
      <c r="B14" s="9" t="n">
        <v>40000</v>
      </c>
      <c r="C14" s="6" t="n"/>
    </row>
    <row r="15">
      <c r="A15" s="7" t="inlineStr">
        <is>
          <t>Dividendo / arriendo</t>
        </is>
      </c>
      <c r="B15" s="9" t="n">
        <v>274000</v>
      </c>
      <c r="C15" s="8" t="n"/>
    </row>
    <row r="17">
      <c r="A17" s="2" t="inlineStr">
        <is>
          <t>INVERSIÓN Y FINANCIAMIENTO</t>
        </is>
      </c>
      <c r="B17" s="3" t="n"/>
      <c r="C17" s="3" t="n"/>
    </row>
    <row r="18">
      <c r="A18" s="4" t="inlineStr">
        <is>
          <t>Inversión inicial (amoblado)</t>
        </is>
      </c>
      <c r="B18" s="9" t="n">
        <v>3200000</v>
      </c>
      <c r="C18" s="6" t="n"/>
    </row>
    <row r="19">
      <c r="A19" s="7" t="inlineStr">
        <is>
          <t>Tasa de descuento anual (%)</t>
        </is>
      </c>
      <c r="B19" s="10" t="n">
        <v>0.12</v>
      </c>
      <c r="C19" s="8" t="n"/>
    </row>
    <row r="22">
      <c r="A22" s="11" t="inlineStr">
        <is>
          <t>Las celdas en amarillo son editables. Todos los demás valores se calculan automáticamente.</t>
        </is>
      </c>
    </row>
  </sheetData>
  <mergeCells count="5">
    <mergeCell ref="A10:C10"/>
    <mergeCell ref="A1:C1"/>
    <mergeCell ref="A22:C22"/>
    <mergeCell ref="A17:C17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1" customWidth="1" min="4" max="4"/>
    <col width="16" customWidth="1" min="5" max="5"/>
    <col width="16" customWidth="1" min="6" max="6"/>
    <col width="14" customWidth="1" min="7" max="7"/>
    <col width="13" customWidth="1" min="8" max="8"/>
    <col width="13" customWidth="1" min="9" max="9"/>
    <col width="14" customWidth="1" min="10" max="10"/>
    <col width="13" customWidth="1" min="11" max="11"/>
    <col width="13" customWidth="1" min="12" max="12"/>
    <col width="14" customWidth="1" min="13" max="13"/>
    <col width="16" customWidth="1" min="14" max="14"/>
  </cols>
  <sheetData>
    <row r="1" ht="35" customHeight="1">
      <c r="A1" s="12" t="inlineStr">
        <is>
          <t>FLUJO DE CAJA MENSUAL – AIRBNB</t>
        </is>
      </c>
    </row>
    <row r="2" ht="42" customHeight="1">
      <c r="A2" s="13" t="inlineStr">
        <is>
          <t>Mes</t>
        </is>
      </c>
      <c r="B2" s="13" t="inlineStr">
        <is>
          <t>Período</t>
        </is>
      </c>
      <c r="C2" s="13" t="inlineStr">
        <is>
          <t>ADR
(CLP/noche)</t>
        </is>
      </c>
      <c r="D2" s="13" t="inlineStr">
        <is>
          <t>Noches
promedio</t>
        </is>
      </c>
      <c r="E2" s="13" t="inlineStr">
        <is>
          <t>Ing. Brutos
(CLP)</t>
        </is>
      </c>
      <c r="F2" s="13" t="inlineStr">
        <is>
          <t>Comisión
Admin/Airbnb</t>
        </is>
      </c>
      <c r="G2" s="13" t="inlineStr">
        <is>
          <t>Ing. Netos
(CLP)</t>
        </is>
      </c>
      <c r="H2" s="13" t="inlineStr">
        <is>
          <t>Gastos
Comunes</t>
        </is>
      </c>
      <c r="I2" s="13" t="inlineStr">
        <is>
          <t>Servicios</t>
        </is>
      </c>
      <c r="J2" s="13" t="inlineStr">
        <is>
          <t>Fondo
Mantención</t>
        </is>
      </c>
      <c r="K2" s="13" t="inlineStr">
        <is>
          <t>Dividendo</t>
        </is>
      </c>
      <c r="L2" s="13" t="inlineStr">
        <is>
          <t>Total
Egresos</t>
        </is>
      </c>
      <c r="M2" s="13" t="inlineStr">
        <is>
          <t>Flujo Neto
(CLP)</t>
        </is>
      </c>
      <c r="N2" s="13" t="inlineStr">
        <is>
          <t>Flujo
Acumulado
(CLP)</t>
        </is>
      </c>
    </row>
    <row r="3" ht="18" customHeight="1">
      <c r="A3" s="14" t="n">
        <v>1</v>
      </c>
      <c r="B3" s="14" t="inlineStr">
        <is>
          <t>Jan 2025</t>
        </is>
      </c>
      <c r="C3" s="15" t="n">
        <v>0</v>
      </c>
      <c r="D3" s="16">
        <f>IF(1&lt;='Parámetros'!$B$5,0,'Parámetros'!$B$7)</f>
        <v/>
      </c>
      <c r="E3" s="15">
        <f>C3*D3</f>
        <v/>
      </c>
      <c r="F3" s="15">
        <f>E3*'Parámetros'!$B$11</f>
        <v/>
      </c>
      <c r="G3" s="17">
        <f>E3-F3</f>
        <v/>
      </c>
      <c r="H3" s="18">
        <f>'Parámetros'!$B$12</f>
        <v/>
      </c>
      <c r="I3" s="18">
        <f>'Parámetros'!$B$13</f>
        <v/>
      </c>
      <c r="J3" s="18">
        <f>'Parámetros'!$B$14</f>
        <v/>
      </c>
      <c r="K3" s="18">
        <f>'Parámetros'!$B$15</f>
        <v/>
      </c>
      <c r="L3" s="19">
        <f>SUM(H3:K3)</f>
        <v/>
      </c>
      <c r="M3" s="20">
        <f>G3-L3</f>
        <v/>
      </c>
      <c r="N3" s="21">
        <f>-'Parámetros'!$B$18+M3</f>
        <v/>
      </c>
    </row>
    <row r="4" ht="18" customHeight="1">
      <c r="A4" s="22" t="n">
        <v>2</v>
      </c>
      <c r="B4" s="22" t="inlineStr">
        <is>
          <t>Feb 2025</t>
        </is>
      </c>
      <c r="C4" s="15" t="n">
        <v>0</v>
      </c>
      <c r="D4" s="16">
        <f>IF(2&lt;='Parámetros'!$B$5,0,'Parámetros'!$B$7)</f>
        <v/>
      </c>
      <c r="E4" s="15">
        <f>C4*D4</f>
        <v/>
      </c>
      <c r="F4" s="15">
        <f>E4*'Parámetros'!$B$11</f>
        <v/>
      </c>
      <c r="G4" s="17">
        <f>E4-F4</f>
        <v/>
      </c>
      <c r="H4" s="23">
        <f>'Parámetros'!$B$12</f>
        <v/>
      </c>
      <c r="I4" s="23">
        <f>'Parámetros'!$B$13</f>
        <v/>
      </c>
      <c r="J4" s="23">
        <f>'Parámetros'!$B$14</f>
        <v/>
      </c>
      <c r="K4" s="23">
        <f>'Parámetros'!$B$15</f>
        <v/>
      </c>
      <c r="L4" s="24">
        <f>SUM(H4:K4)</f>
        <v/>
      </c>
      <c r="M4" s="25">
        <f>G4-L4</f>
        <v/>
      </c>
      <c r="N4" s="26">
        <f>N3+M4</f>
        <v/>
      </c>
    </row>
    <row r="5" ht="18" customHeight="1">
      <c r="A5" s="14" t="n">
        <v>3</v>
      </c>
      <c r="B5" s="14" t="inlineStr">
        <is>
          <t>Mar 2025</t>
        </is>
      </c>
      <c r="C5" s="15" t="n">
        <v>0</v>
      </c>
      <c r="D5" s="16">
        <f>IF(3&lt;='Parámetros'!$B$5,0,'Parámetros'!$B$7)</f>
        <v/>
      </c>
      <c r="E5" s="15">
        <f>C5*D5</f>
        <v/>
      </c>
      <c r="F5" s="15">
        <f>E5*'Parámetros'!$B$11</f>
        <v/>
      </c>
      <c r="G5" s="17">
        <f>E5-F5</f>
        <v/>
      </c>
      <c r="H5" s="18">
        <f>'Parámetros'!$B$12</f>
        <v/>
      </c>
      <c r="I5" s="18">
        <f>'Parámetros'!$B$13</f>
        <v/>
      </c>
      <c r="J5" s="18">
        <f>'Parámetros'!$B$14</f>
        <v/>
      </c>
      <c r="K5" s="18">
        <f>'Parámetros'!$B$15</f>
        <v/>
      </c>
      <c r="L5" s="19">
        <f>SUM(H5:K5)</f>
        <v/>
      </c>
      <c r="M5" s="20">
        <f>G5-L5</f>
        <v/>
      </c>
      <c r="N5" s="21">
        <f>N4+M5</f>
        <v/>
      </c>
    </row>
    <row r="6" ht="18" customHeight="1">
      <c r="A6" s="22" t="n">
        <v>4</v>
      </c>
      <c r="B6" s="22" t="inlineStr">
        <is>
          <t>Apr 2025</t>
        </is>
      </c>
      <c r="C6" s="15" t="n">
        <v>0</v>
      </c>
      <c r="D6" s="16">
        <f>IF(4&lt;='Parámetros'!$B$5,0,'Parámetros'!$B$7)</f>
        <v/>
      </c>
      <c r="E6" s="15">
        <f>C6*D6</f>
        <v/>
      </c>
      <c r="F6" s="15">
        <f>E6*'Parámetros'!$B$11</f>
        <v/>
      </c>
      <c r="G6" s="17">
        <f>E6-F6</f>
        <v/>
      </c>
      <c r="H6" s="23">
        <f>'Parámetros'!$B$12</f>
        <v/>
      </c>
      <c r="I6" s="23">
        <f>'Parámetros'!$B$13</f>
        <v/>
      </c>
      <c r="J6" s="23">
        <f>'Parámetros'!$B$14</f>
        <v/>
      </c>
      <c r="K6" s="23">
        <f>'Parámetros'!$B$15</f>
        <v/>
      </c>
      <c r="L6" s="24">
        <f>SUM(H6:K6)</f>
        <v/>
      </c>
      <c r="M6" s="25">
        <f>G6-L6</f>
        <v/>
      </c>
      <c r="N6" s="26">
        <f>N5+M6</f>
        <v/>
      </c>
    </row>
    <row r="7" ht="18" customHeight="1">
      <c r="A7" s="14" t="n">
        <v>5</v>
      </c>
      <c r="B7" s="14" t="inlineStr">
        <is>
          <t>May 2025</t>
        </is>
      </c>
      <c r="C7" s="15" t="n">
        <v>0</v>
      </c>
      <c r="D7" s="16">
        <f>IF(5&lt;='Parámetros'!$B$5,0,'Parámetros'!$B$7)</f>
        <v/>
      </c>
      <c r="E7" s="15">
        <f>C7*D7</f>
        <v/>
      </c>
      <c r="F7" s="15">
        <f>E7*'Parámetros'!$B$11</f>
        <v/>
      </c>
      <c r="G7" s="17">
        <f>E7-F7</f>
        <v/>
      </c>
      <c r="H7" s="18">
        <f>'Parámetros'!$B$12</f>
        <v/>
      </c>
      <c r="I7" s="18">
        <f>'Parámetros'!$B$13</f>
        <v/>
      </c>
      <c r="J7" s="18">
        <f>'Parámetros'!$B$14</f>
        <v/>
      </c>
      <c r="K7" s="18">
        <f>'Parámetros'!$B$15</f>
        <v/>
      </c>
      <c r="L7" s="19">
        <f>SUM(H7:K7)</f>
        <v/>
      </c>
      <c r="M7" s="20">
        <f>G7-L7</f>
        <v/>
      </c>
      <c r="N7" s="21">
        <f>N6+M7</f>
        <v/>
      </c>
    </row>
    <row r="8" ht="18" customHeight="1">
      <c r="A8" s="22" t="n">
        <v>6</v>
      </c>
      <c r="B8" s="22" t="inlineStr">
        <is>
          <t>Jun 2025</t>
        </is>
      </c>
      <c r="C8" s="15" t="n">
        <v>0</v>
      </c>
      <c r="D8" s="16">
        <f>IF(6&lt;='Parámetros'!$B$5,0,'Parámetros'!$B$7)</f>
        <v/>
      </c>
      <c r="E8" s="15">
        <f>C8*D8</f>
        <v/>
      </c>
      <c r="F8" s="15">
        <f>E8*'Parámetros'!$B$11</f>
        <v/>
      </c>
      <c r="G8" s="17">
        <f>E8-F8</f>
        <v/>
      </c>
      <c r="H8" s="23">
        <f>'Parámetros'!$B$12</f>
        <v/>
      </c>
      <c r="I8" s="23">
        <f>'Parámetros'!$B$13</f>
        <v/>
      </c>
      <c r="J8" s="23">
        <f>'Parámetros'!$B$14</f>
        <v/>
      </c>
      <c r="K8" s="23">
        <f>'Parámetros'!$B$15</f>
        <v/>
      </c>
      <c r="L8" s="24">
        <f>SUM(H8:K8)</f>
        <v/>
      </c>
      <c r="M8" s="25">
        <f>G8-L8</f>
        <v/>
      </c>
      <c r="N8" s="26">
        <f>N7+M8</f>
        <v/>
      </c>
    </row>
    <row r="9" ht="18" customHeight="1">
      <c r="A9" s="14" t="n">
        <v>7</v>
      </c>
      <c r="B9" s="14" t="inlineStr">
        <is>
          <t>Jul 2025</t>
        </is>
      </c>
      <c r="C9" s="18">
        <f>'Parámetros'!$B$6*(1+'Parámetros'!$B$8)^0</f>
        <v/>
      </c>
      <c r="D9" s="27">
        <f>IF(7&lt;='Parámetros'!$B$5,0,'Parámetros'!$B$7)</f>
        <v/>
      </c>
      <c r="E9" s="18">
        <f>C9*D9</f>
        <v/>
      </c>
      <c r="F9" s="18">
        <f>E9*'Parámetros'!$B$11</f>
        <v/>
      </c>
      <c r="G9" s="28">
        <f>E9-F9</f>
        <v/>
      </c>
      <c r="H9" s="18">
        <f>'Parámetros'!$B$12</f>
        <v/>
      </c>
      <c r="I9" s="18">
        <f>'Parámetros'!$B$13</f>
        <v/>
      </c>
      <c r="J9" s="18">
        <f>'Parámetros'!$B$14</f>
        <v/>
      </c>
      <c r="K9" s="18">
        <f>'Parámetros'!$B$15</f>
        <v/>
      </c>
      <c r="L9" s="19">
        <f>SUM(H9:K9)</f>
        <v/>
      </c>
      <c r="M9" s="29">
        <f>G9-L9</f>
        <v/>
      </c>
      <c r="N9" s="21">
        <f>N8+M9</f>
        <v/>
      </c>
    </row>
    <row r="10" ht="18" customHeight="1">
      <c r="A10" s="22" t="n">
        <v>8</v>
      </c>
      <c r="B10" s="22" t="inlineStr">
        <is>
          <t>Aug 2025</t>
        </is>
      </c>
      <c r="C10" s="23">
        <f>'Parámetros'!$B$6*(1+'Parámetros'!$B$8)^0</f>
        <v/>
      </c>
      <c r="D10" s="30">
        <f>IF(8&lt;='Parámetros'!$B$5,0,'Parámetros'!$B$7)</f>
        <v/>
      </c>
      <c r="E10" s="23">
        <f>C10*D10</f>
        <v/>
      </c>
      <c r="F10" s="23">
        <f>E10*'Parámetros'!$B$11</f>
        <v/>
      </c>
      <c r="G10" s="28">
        <f>E10-F10</f>
        <v/>
      </c>
      <c r="H10" s="23">
        <f>'Parámetros'!$B$12</f>
        <v/>
      </c>
      <c r="I10" s="23">
        <f>'Parámetros'!$B$13</f>
        <v/>
      </c>
      <c r="J10" s="23">
        <f>'Parámetros'!$B$14</f>
        <v/>
      </c>
      <c r="K10" s="23">
        <f>'Parámetros'!$B$15</f>
        <v/>
      </c>
      <c r="L10" s="24">
        <f>SUM(H10:K10)</f>
        <v/>
      </c>
      <c r="M10" s="31">
        <f>G10-L10</f>
        <v/>
      </c>
      <c r="N10" s="26">
        <f>N9+M10</f>
        <v/>
      </c>
    </row>
    <row r="11" ht="18" customHeight="1">
      <c r="A11" s="14" t="n">
        <v>9</v>
      </c>
      <c r="B11" s="14" t="inlineStr">
        <is>
          <t>Sep 2025</t>
        </is>
      </c>
      <c r="C11" s="18">
        <f>'Parámetros'!$B$6*(1+'Parámetros'!$B$8)^0</f>
        <v/>
      </c>
      <c r="D11" s="27">
        <f>IF(9&lt;='Parámetros'!$B$5,0,'Parámetros'!$B$7)</f>
        <v/>
      </c>
      <c r="E11" s="18">
        <f>C11*D11</f>
        <v/>
      </c>
      <c r="F11" s="18">
        <f>E11*'Parámetros'!$B$11</f>
        <v/>
      </c>
      <c r="G11" s="28">
        <f>E11-F11</f>
        <v/>
      </c>
      <c r="H11" s="18">
        <f>'Parámetros'!$B$12</f>
        <v/>
      </c>
      <c r="I11" s="18">
        <f>'Parámetros'!$B$13</f>
        <v/>
      </c>
      <c r="J11" s="18">
        <f>'Parámetros'!$B$14</f>
        <v/>
      </c>
      <c r="K11" s="18">
        <f>'Parámetros'!$B$15</f>
        <v/>
      </c>
      <c r="L11" s="19">
        <f>SUM(H11:K11)</f>
        <v/>
      </c>
      <c r="M11" s="29">
        <f>G11-L11</f>
        <v/>
      </c>
      <c r="N11" s="21">
        <f>N10+M11</f>
        <v/>
      </c>
    </row>
    <row r="12" ht="18" customHeight="1">
      <c r="A12" s="22" t="n">
        <v>10</v>
      </c>
      <c r="B12" s="22" t="inlineStr">
        <is>
          <t>Oct 2025</t>
        </is>
      </c>
      <c r="C12" s="23">
        <f>'Parámetros'!$B$6*(1+'Parámetros'!$B$8)^0</f>
        <v/>
      </c>
      <c r="D12" s="30">
        <f>IF(10&lt;='Parámetros'!$B$5,0,'Parámetros'!$B$7)</f>
        <v/>
      </c>
      <c r="E12" s="23">
        <f>C12*D12</f>
        <v/>
      </c>
      <c r="F12" s="23">
        <f>E12*'Parámetros'!$B$11</f>
        <v/>
      </c>
      <c r="G12" s="28">
        <f>E12-F12</f>
        <v/>
      </c>
      <c r="H12" s="23">
        <f>'Parámetros'!$B$12</f>
        <v/>
      </c>
      <c r="I12" s="23">
        <f>'Parámetros'!$B$13</f>
        <v/>
      </c>
      <c r="J12" s="23">
        <f>'Parámetros'!$B$14</f>
        <v/>
      </c>
      <c r="K12" s="23">
        <f>'Parámetros'!$B$15</f>
        <v/>
      </c>
      <c r="L12" s="24">
        <f>SUM(H12:K12)</f>
        <v/>
      </c>
      <c r="M12" s="31">
        <f>G12-L12</f>
        <v/>
      </c>
      <c r="N12" s="26">
        <f>N11+M12</f>
        <v/>
      </c>
    </row>
    <row r="13" ht="18" customHeight="1">
      <c r="A13" s="14" t="n">
        <v>11</v>
      </c>
      <c r="B13" s="14" t="inlineStr">
        <is>
          <t>Nov 2025</t>
        </is>
      </c>
      <c r="C13" s="18">
        <f>'Parámetros'!$B$6*(1+'Parámetros'!$B$8)^0</f>
        <v/>
      </c>
      <c r="D13" s="27">
        <f>IF(11&lt;='Parámetros'!$B$5,0,'Parámetros'!$B$7)</f>
        <v/>
      </c>
      <c r="E13" s="18">
        <f>C13*D13</f>
        <v/>
      </c>
      <c r="F13" s="18">
        <f>E13*'Parámetros'!$B$11</f>
        <v/>
      </c>
      <c r="G13" s="28">
        <f>E13-F13</f>
        <v/>
      </c>
      <c r="H13" s="18">
        <f>'Parámetros'!$B$12</f>
        <v/>
      </c>
      <c r="I13" s="18">
        <f>'Parámetros'!$B$13</f>
        <v/>
      </c>
      <c r="J13" s="18">
        <f>'Parámetros'!$B$14</f>
        <v/>
      </c>
      <c r="K13" s="18">
        <f>'Parámetros'!$B$15</f>
        <v/>
      </c>
      <c r="L13" s="19">
        <f>SUM(H13:K13)</f>
        <v/>
      </c>
      <c r="M13" s="29">
        <f>G13-L13</f>
        <v/>
      </c>
      <c r="N13" s="21">
        <f>N12+M13</f>
        <v/>
      </c>
    </row>
    <row r="14" ht="18" customHeight="1">
      <c r="A14" s="22" t="n">
        <v>12</v>
      </c>
      <c r="B14" s="22" t="inlineStr">
        <is>
          <t>Dec 2025</t>
        </is>
      </c>
      <c r="C14" s="23">
        <f>'Parámetros'!$B$6*(1+'Parámetros'!$B$8)^0</f>
        <v/>
      </c>
      <c r="D14" s="30">
        <f>IF(12&lt;='Parámetros'!$B$5,0,'Parámetros'!$B$7)</f>
        <v/>
      </c>
      <c r="E14" s="23">
        <f>C14*D14</f>
        <v/>
      </c>
      <c r="F14" s="23">
        <f>E14*'Parámetros'!$B$11</f>
        <v/>
      </c>
      <c r="G14" s="28">
        <f>E14-F14</f>
        <v/>
      </c>
      <c r="H14" s="23">
        <f>'Parámetros'!$B$12</f>
        <v/>
      </c>
      <c r="I14" s="23">
        <f>'Parámetros'!$B$13</f>
        <v/>
      </c>
      <c r="J14" s="23">
        <f>'Parámetros'!$B$14</f>
        <v/>
      </c>
      <c r="K14" s="23">
        <f>'Parámetros'!$B$15</f>
        <v/>
      </c>
      <c r="L14" s="24">
        <f>SUM(H14:K14)</f>
        <v/>
      </c>
      <c r="M14" s="31">
        <f>G14-L14</f>
        <v/>
      </c>
      <c r="N14" s="26">
        <f>N13+M14</f>
        <v/>
      </c>
    </row>
    <row r="15" ht="18" customHeight="1">
      <c r="A15" s="14" t="n">
        <v>13</v>
      </c>
      <c r="B15" s="14" t="inlineStr">
        <is>
          <t>Jan 2026</t>
        </is>
      </c>
      <c r="C15" s="18">
        <f>'Parámetros'!$B$6*(1+'Parámetros'!$B$8)^1</f>
        <v/>
      </c>
      <c r="D15" s="27">
        <f>IF(13&lt;='Parámetros'!$B$5,0,'Parámetros'!$B$7)</f>
        <v/>
      </c>
      <c r="E15" s="18">
        <f>C15*D15</f>
        <v/>
      </c>
      <c r="F15" s="18">
        <f>E15*'Parámetros'!$B$11</f>
        <v/>
      </c>
      <c r="G15" s="28">
        <f>E15-F15</f>
        <v/>
      </c>
      <c r="H15" s="18">
        <f>'Parámetros'!$B$12</f>
        <v/>
      </c>
      <c r="I15" s="18">
        <f>'Parámetros'!$B$13</f>
        <v/>
      </c>
      <c r="J15" s="18">
        <f>'Parámetros'!$B$14</f>
        <v/>
      </c>
      <c r="K15" s="18">
        <f>'Parámetros'!$B$15</f>
        <v/>
      </c>
      <c r="L15" s="19">
        <f>SUM(H15:K15)</f>
        <v/>
      </c>
      <c r="M15" s="29">
        <f>G15-L15</f>
        <v/>
      </c>
      <c r="N15" s="21">
        <f>N14+M15</f>
        <v/>
      </c>
    </row>
    <row r="16" ht="18" customHeight="1">
      <c r="A16" s="22" t="n">
        <v>14</v>
      </c>
      <c r="B16" s="22" t="inlineStr">
        <is>
          <t>Feb 2026</t>
        </is>
      </c>
      <c r="C16" s="23">
        <f>'Parámetros'!$B$6*(1+'Parámetros'!$B$8)^1</f>
        <v/>
      </c>
      <c r="D16" s="30">
        <f>IF(14&lt;='Parámetros'!$B$5,0,'Parámetros'!$B$7)</f>
        <v/>
      </c>
      <c r="E16" s="23">
        <f>C16*D16</f>
        <v/>
      </c>
      <c r="F16" s="23">
        <f>E16*'Parámetros'!$B$11</f>
        <v/>
      </c>
      <c r="G16" s="28">
        <f>E16-F16</f>
        <v/>
      </c>
      <c r="H16" s="23">
        <f>'Parámetros'!$B$12</f>
        <v/>
      </c>
      <c r="I16" s="23">
        <f>'Parámetros'!$B$13</f>
        <v/>
      </c>
      <c r="J16" s="23">
        <f>'Parámetros'!$B$14</f>
        <v/>
      </c>
      <c r="K16" s="23">
        <f>'Parámetros'!$B$15</f>
        <v/>
      </c>
      <c r="L16" s="24">
        <f>SUM(H16:K16)</f>
        <v/>
      </c>
      <c r="M16" s="31">
        <f>G16-L16</f>
        <v/>
      </c>
      <c r="N16" s="26">
        <f>N15+M16</f>
        <v/>
      </c>
    </row>
    <row r="17" ht="18" customHeight="1">
      <c r="A17" s="14" t="n">
        <v>15</v>
      </c>
      <c r="B17" s="14" t="inlineStr">
        <is>
          <t>Mar 2026</t>
        </is>
      </c>
      <c r="C17" s="18">
        <f>'Parámetros'!$B$6*(1+'Parámetros'!$B$8)^1</f>
        <v/>
      </c>
      <c r="D17" s="27">
        <f>IF(15&lt;='Parámetros'!$B$5,0,'Parámetros'!$B$7)</f>
        <v/>
      </c>
      <c r="E17" s="18">
        <f>C17*D17</f>
        <v/>
      </c>
      <c r="F17" s="18">
        <f>E17*'Parámetros'!$B$11</f>
        <v/>
      </c>
      <c r="G17" s="28">
        <f>E17-F17</f>
        <v/>
      </c>
      <c r="H17" s="18">
        <f>'Parámetros'!$B$12</f>
        <v/>
      </c>
      <c r="I17" s="18">
        <f>'Parámetros'!$B$13</f>
        <v/>
      </c>
      <c r="J17" s="18">
        <f>'Parámetros'!$B$14</f>
        <v/>
      </c>
      <c r="K17" s="18">
        <f>'Parámetros'!$B$15</f>
        <v/>
      </c>
      <c r="L17" s="19">
        <f>SUM(H17:K17)</f>
        <v/>
      </c>
      <c r="M17" s="29">
        <f>G17-L17</f>
        <v/>
      </c>
      <c r="N17" s="21">
        <f>N16+M17</f>
        <v/>
      </c>
    </row>
    <row r="18" ht="18" customHeight="1">
      <c r="A18" s="22" t="n">
        <v>16</v>
      </c>
      <c r="B18" s="22" t="inlineStr">
        <is>
          <t>Apr 2026</t>
        </is>
      </c>
      <c r="C18" s="23">
        <f>'Parámetros'!$B$6*(1+'Parámetros'!$B$8)^1</f>
        <v/>
      </c>
      <c r="D18" s="30">
        <f>IF(16&lt;='Parámetros'!$B$5,0,'Parámetros'!$B$7)</f>
        <v/>
      </c>
      <c r="E18" s="23">
        <f>C18*D18</f>
        <v/>
      </c>
      <c r="F18" s="23">
        <f>E18*'Parámetros'!$B$11</f>
        <v/>
      </c>
      <c r="G18" s="28">
        <f>E18-F18</f>
        <v/>
      </c>
      <c r="H18" s="23">
        <f>'Parámetros'!$B$12</f>
        <v/>
      </c>
      <c r="I18" s="23">
        <f>'Parámetros'!$B$13</f>
        <v/>
      </c>
      <c r="J18" s="23">
        <f>'Parámetros'!$B$14</f>
        <v/>
      </c>
      <c r="K18" s="23">
        <f>'Parámetros'!$B$15</f>
        <v/>
      </c>
      <c r="L18" s="24">
        <f>SUM(H18:K18)</f>
        <v/>
      </c>
      <c r="M18" s="31">
        <f>G18-L18</f>
        <v/>
      </c>
      <c r="N18" s="26">
        <f>N17+M18</f>
        <v/>
      </c>
    </row>
    <row r="19" ht="18" customHeight="1">
      <c r="A19" s="14" t="n">
        <v>17</v>
      </c>
      <c r="B19" s="14" t="inlineStr">
        <is>
          <t>May 2026</t>
        </is>
      </c>
      <c r="C19" s="18">
        <f>'Parámetros'!$B$6*(1+'Parámetros'!$B$8)^1</f>
        <v/>
      </c>
      <c r="D19" s="27">
        <f>IF(17&lt;='Parámetros'!$B$5,0,'Parámetros'!$B$7)</f>
        <v/>
      </c>
      <c r="E19" s="18">
        <f>C19*D19</f>
        <v/>
      </c>
      <c r="F19" s="18">
        <f>E19*'Parámetros'!$B$11</f>
        <v/>
      </c>
      <c r="G19" s="28">
        <f>E19-F19</f>
        <v/>
      </c>
      <c r="H19" s="18">
        <f>'Parámetros'!$B$12</f>
        <v/>
      </c>
      <c r="I19" s="18">
        <f>'Parámetros'!$B$13</f>
        <v/>
      </c>
      <c r="J19" s="18">
        <f>'Parámetros'!$B$14</f>
        <v/>
      </c>
      <c r="K19" s="18">
        <f>'Parámetros'!$B$15</f>
        <v/>
      </c>
      <c r="L19" s="19">
        <f>SUM(H19:K19)</f>
        <v/>
      </c>
      <c r="M19" s="29">
        <f>G19-L19</f>
        <v/>
      </c>
      <c r="N19" s="21">
        <f>N18+M19</f>
        <v/>
      </c>
    </row>
    <row r="20" ht="18" customHeight="1">
      <c r="A20" s="22" t="n">
        <v>18</v>
      </c>
      <c r="B20" s="22" t="inlineStr">
        <is>
          <t>Jun 2026</t>
        </is>
      </c>
      <c r="C20" s="23">
        <f>'Parámetros'!$B$6*(1+'Parámetros'!$B$8)^1</f>
        <v/>
      </c>
      <c r="D20" s="30">
        <f>IF(18&lt;='Parámetros'!$B$5,0,'Parámetros'!$B$7)</f>
        <v/>
      </c>
      <c r="E20" s="23">
        <f>C20*D20</f>
        <v/>
      </c>
      <c r="F20" s="23">
        <f>E20*'Parámetros'!$B$11</f>
        <v/>
      </c>
      <c r="G20" s="28">
        <f>E20-F20</f>
        <v/>
      </c>
      <c r="H20" s="23">
        <f>'Parámetros'!$B$12</f>
        <v/>
      </c>
      <c r="I20" s="23">
        <f>'Parámetros'!$B$13</f>
        <v/>
      </c>
      <c r="J20" s="23">
        <f>'Parámetros'!$B$14</f>
        <v/>
      </c>
      <c r="K20" s="23">
        <f>'Parámetros'!$B$15</f>
        <v/>
      </c>
      <c r="L20" s="24">
        <f>SUM(H20:K20)</f>
        <v/>
      </c>
      <c r="M20" s="31">
        <f>G20-L20</f>
        <v/>
      </c>
      <c r="N20" s="26">
        <f>N19+M20</f>
        <v/>
      </c>
    </row>
    <row r="21" ht="18" customHeight="1">
      <c r="A21" s="14" t="n">
        <v>19</v>
      </c>
      <c r="B21" s="14" t="inlineStr">
        <is>
          <t>Jul 2026</t>
        </is>
      </c>
      <c r="C21" s="18">
        <f>'Parámetros'!$B$6*(1+'Parámetros'!$B$8)^1</f>
        <v/>
      </c>
      <c r="D21" s="27">
        <f>IF(19&lt;='Parámetros'!$B$5,0,'Parámetros'!$B$7)</f>
        <v/>
      </c>
      <c r="E21" s="18">
        <f>C21*D21</f>
        <v/>
      </c>
      <c r="F21" s="18">
        <f>E21*'Parámetros'!$B$11</f>
        <v/>
      </c>
      <c r="G21" s="28">
        <f>E21-F21</f>
        <v/>
      </c>
      <c r="H21" s="18">
        <f>'Parámetros'!$B$12</f>
        <v/>
      </c>
      <c r="I21" s="18">
        <f>'Parámetros'!$B$13</f>
        <v/>
      </c>
      <c r="J21" s="18">
        <f>'Parámetros'!$B$14</f>
        <v/>
      </c>
      <c r="K21" s="18">
        <f>'Parámetros'!$B$15</f>
        <v/>
      </c>
      <c r="L21" s="19">
        <f>SUM(H21:K21)</f>
        <v/>
      </c>
      <c r="M21" s="29">
        <f>G21-L21</f>
        <v/>
      </c>
      <c r="N21" s="21">
        <f>N20+M21</f>
        <v/>
      </c>
    </row>
    <row r="22" ht="18" customHeight="1">
      <c r="A22" s="22" t="n">
        <v>20</v>
      </c>
      <c r="B22" s="22" t="inlineStr">
        <is>
          <t>Aug 2026</t>
        </is>
      </c>
      <c r="C22" s="23">
        <f>'Parámetros'!$B$6*(1+'Parámetros'!$B$8)^1</f>
        <v/>
      </c>
      <c r="D22" s="30">
        <f>IF(20&lt;='Parámetros'!$B$5,0,'Parámetros'!$B$7)</f>
        <v/>
      </c>
      <c r="E22" s="23">
        <f>C22*D22</f>
        <v/>
      </c>
      <c r="F22" s="23">
        <f>E22*'Parámetros'!$B$11</f>
        <v/>
      </c>
      <c r="G22" s="28">
        <f>E22-F22</f>
        <v/>
      </c>
      <c r="H22" s="23">
        <f>'Parámetros'!$B$12</f>
        <v/>
      </c>
      <c r="I22" s="23">
        <f>'Parámetros'!$B$13</f>
        <v/>
      </c>
      <c r="J22" s="23">
        <f>'Parámetros'!$B$14</f>
        <v/>
      </c>
      <c r="K22" s="23">
        <f>'Parámetros'!$B$15</f>
        <v/>
      </c>
      <c r="L22" s="24">
        <f>SUM(H22:K22)</f>
        <v/>
      </c>
      <c r="M22" s="31">
        <f>G22-L22</f>
        <v/>
      </c>
      <c r="N22" s="26">
        <f>N21+M22</f>
        <v/>
      </c>
    </row>
    <row r="23" ht="18" customHeight="1">
      <c r="A23" s="14" t="n">
        <v>21</v>
      </c>
      <c r="B23" s="14" t="inlineStr">
        <is>
          <t>Sep 2026</t>
        </is>
      </c>
      <c r="C23" s="18">
        <f>'Parámetros'!$B$6*(1+'Parámetros'!$B$8)^1</f>
        <v/>
      </c>
      <c r="D23" s="27">
        <f>IF(21&lt;='Parámetros'!$B$5,0,'Parámetros'!$B$7)</f>
        <v/>
      </c>
      <c r="E23" s="18">
        <f>C23*D23</f>
        <v/>
      </c>
      <c r="F23" s="18">
        <f>E23*'Parámetros'!$B$11</f>
        <v/>
      </c>
      <c r="G23" s="28">
        <f>E23-F23</f>
        <v/>
      </c>
      <c r="H23" s="18">
        <f>'Parámetros'!$B$12</f>
        <v/>
      </c>
      <c r="I23" s="18">
        <f>'Parámetros'!$B$13</f>
        <v/>
      </c>
      <c r="J23" s="18">
        <f>'Parámetros'!$B$14</f>
        <v/>
      </c>
      <c r="K23" s="18">
        <f>'Parámetros'!$B$15</f>
        <v/>
      </c>
      <c r="L23" s="19">
        <f>SUM(H23:K23)</f>
        <v/>
      </c>
      <c r="M23" s="29">
        <f>G23-L23</f>
        <v/>
      </c>
      <c r="N23" s="21">
        <f>N22+M23</f>
        <v/>
      </c>
    </row>
    <row r="24" ht="18" customHeight="1">
      <c r="A24" s="22" t="n">
        <v>22</v>
      </c>
      <c r="B24" s="22" t="inlineStr">
        <is>
          <t>Oct 2026</t>
        </is>
      </c>
      <c r="C24" s="23">
        <f>'Parámetros'!$B$6*(1+'Parámetros'!$B$8)^1</f>
        <v/>
      </c>
      <c r="D24" s="30">
        <f>IF(22&lt;='Parámetros'!$B$5,0,'Parámetros'!$B$7)</f>
        <v/>
      </c>
      <c r="E24" s="23">
        <f>C24*D24</f>
        <v/>
      </c>
      <c r="F24" s="23">
        <f>E24*'Parámetros'!$B$11</f>
        <v/>
      </c>
      <c r="G24" s="28">
        <f>E24-F24</f>
        <v/>
      </c>
      <c r="H24" s="23">
        <f>'Parámetros'!$B$12</f>
        <v/>
      </c>
      <c r="I24" s="23">
        <f>'Parámetros'!$B$13</f>
        <v/>
      </c>
      <c r="J24" s="23">
        <f>'Parámetros'!$B$14</f>
        <v/>
      </c>
      <c r="K24" s="23">
        <f>'Parámetros'!$B$15</f>
        <v/>
      </c>
      <c r="L24" s="24">
        <f>SUM(H24:K24)</f>
        <v/>
      </c>
      <c r="M24" s="31">
        <f>G24-L24</f>
        <v/>
      </c>
      <c r="N24" s="26">
        <f>N23+M24</f>
        <v/>
      </c>
    </row>
    <row r="25" ht="18" customHeight="1">
      <c r="A25" s="14" t="n">
        <v>23</v>
      </c>
      <c r="B25" s="14" t="inlineStr">
        <is>
          <t>Nov 2026</t>
        </is>
      </c>
      <c r="C25" s="18">
        <f>'Parámetros'!$B$6*(1+'Parámetros'!$B$8)^1</f>
        <v/>
      </c>
      <c r="D25" s="27">
        <f>IF(23&lt;='Parámetros'!$B$5,0,'Parámetros'!$B$7)</f>
        <v/>
      </c>
      <c r="E25" s="18">
        <f>C25*D25</f>
        <v/>
      </c>
      <c r="F25" s="18">
        <f>E25*'Parámetros'!$B$11</f>
        <v/>
      </c>
      <c r="G25" s="28">
        <f>E25-F25</f>
        <v/>
      </c>
      <c r="H25" s="18">
        <f>'Parámetros'!$B$12</f>
        <v/>
      </c>
      <c r="I25" s="18">
        <f>'Parámetros'!$B$13</f>
        <v/>
      </c>
      <c r="J25" s="18">
        <f>'Parámetros'!$B$14</f>
        <v/>
      </c>
      <c r="K25" s="18">
        <f>'Parámetros'!$B$15</f>
        <v/>
      </c>
      <c r="L25" s="19">
        <f>SUM(H25:K25)</f>
        <v/>
      </c>
      <c r="M25" s="29">
        <f>G25-L25</f>
        <v/>
      </c>
      <c r="N25" s="21">
        <f>N24+M25</f>
        <v/>
      </c>
    </row>
    <row r="26" ht="18" customHeight="1">
      <c r="A26" s="22" t="n">
        <v>24</v>
      </c>
      <c r="B26" s="22" t="inlineStr">
        <is>
          <t>Dec 2026</t>
        </is>
      </c>
      <c r="C26" s="23">
        <f>'Parámetros'!$B$6*(1+'Parámetros'!$B$8)^1</f>
        <v/>
      </c>
      <c r="D26" s="30">
        <f>IF(24&lt;='Parámetros'!$B$5,0,'Parámetros'!$B$7)</f>
        <v/>
      </c>
      <c r="E26" s="23">
        <f>C26*D26</f>
        <v/>
      </c>
      <c r="F26" s="23">
        <f>E26*'Parámetros'!$B$11</f>
        <v/>
      </c>
      <c r="G26" s="28">
        <f>E26-F26</f>
        <v/>
      </c>
      <c r="H26" s="23">
        <f>'Parámetros'!$B$12</f>
        <v/>
      </c>
      <c r="I26" s="23">
        <f>'Parámetros'!$B$13</f>
        <v/>
      </c>
      <c r="J26" s="23">
        <f>'Parámetros'!$B$14</f>
        <v/>
      </c>
      <c r="K26" s="23">
        <f>'Parámetros'!$B$15</f>
        <v/>
      </c>
      <c r="L26" s="24">
        <f>SUM(H26:K26)</f>
        <v/>
      </c>
      <c r="M26" s="31">
        <f>G26-L26</f>
        <v/>
      </c>
      <c r="N26" s="26">
        <f>N25+M26</f>
        <v/>
      </c>
    </row>
    <row r="27" ht="18" customHeight="1">
      <c r="A27" s="14" t="n">
        <v>25</v>
      </c>
      <c r="B27" s="14" t="inlineStr">
        <is>
          <t>Jan 2027</t>
        </is>
      </c>
      <c r="C27" s="18">
        <f>'Parámetros'!$B$6*(1+'Parámetros'!$B$8)^2</f>
        <v/>
      </c>
      <c r="D27" s="27">
        <f>IF(25&lt;='Parámetros'!$B$5,0,'Parámetros'!$B$7)</f>
        <v/>
      </c>
      <c r="E27" s="18">
        <f>C27*D27</f>
        <v/>
      </c>
      <c r="F27" s="18">
        <f>E27*'Parámetros'!$B$11</f>
        <v/>
      </c>
      <c r="G27" s="28">
        <f>E27-F27</f>
        <v/>
      </c>
      <c r="H27" s="18">
        <f>'Parámetros'!$B$12</f>
        <v/>
      </c>
      <c r="I27" s="18">
        <f>'Parámetros'!$B$13</f>
        <v/>
      </c>
      <c r="J27" s="18">
        <f>'Parámetros'!$B$14</f>
        <v/>
      </c>
      <c r="K27" s="18">
        <f>'Parámetros'!$B$15</f>
        <v/>
      </c>
      <c r="L27" s="19">
        <f>SUM(H27:K27)</f>
        <v/>
      </c>
      <c r="M27" s="29">
        <f>G27-L27</f>
        <v/>
      </c>
      <c r="N27" s="21">
        <f>N26+M27</f>
        <v/>
      </c>
    </row>
    <row r="28" ht="18" customHeight="1">
      <c r="A28" s="22" t="n">
        <v>26</v>
      </c>
      <c r="B28" s="22" t="inlineStr">
        <is>
          <t>Feb 2027</t>
        </is>
      </c>
      <c r="C28" s="23">
        <f>'Parámetros'!$B$6*(1+'Parámetros'!$B$8)^2</f>
        <v/>
      </c>
      <c r="D28" s="30">
        <f>IF(26&lt;='Parámetros'!$B$5,0,'Parámetros'!$B$7)</f>
        <v/>
      </c>
      <c r="E28" s="23">
        <f>C28*D28</f>
        <v/>
      </c>
      <c r="F28" s="23">
        <f>E28*'Parámetros'!$B$11</f>
        <v/>
      </c>
      <c r="G28" s="28">
        <f>E28-F28</f>
        <v/>
      </c>
      <c r="H28" s="23">
        <f>'Parámetros'!$B$12</f>
        <v/>
      </c>
      <c r="I28" s="23">
        <f>'Parámetros'!$B$13</f>
        <v/>
      </c>
      <c r="J28" s="23">
        <f>'Parámetros'!$B$14</f>
        <v/>
      </c>
      <c r="K28" s="23">
        <f>'Parámetros'!$B$15</f>
        <v/>
      </c>
      <c r="L28" s="24">
        <f>SUM(H28:K28)</f>
        <v/>
      </c>
      <c r="M28" s="31">
        <f>G28-L28</f>
        <v/>
      </c>
      <c r="N28" s="26">
        <f>N27+M28</f>
        <v/>
      </c>
    </row>
    <row r="29" ht="18" customHeight="1">
      <c r="A29" s="14" t="n">
        <v>27</v>
      </c>
      <c r="B29" s="14" t="inlineStr">
        <is>
          <t>Mar 2027</t>
        </is>
      </c>
      <c r="C29" s="18">
        <f>'Parámetros'!$B$6*(1+'Parámetros'!$B$8)^2</f>
        <v/>
      </c>
      <c r="D29" s="27">
        <f>IF(27&lt;='Parámetros'!$B$5,0,'Parámetros'!$B$7)</f>
        <v/>
      </c>
      <c r="E29" s="18">
        <f>C29*D29</f>
        <v/>
      </c>
      <c r="F29" s="18">
        <f>E29*'Parámetros'!$B$11</f>
        <v/>
      </c>
      <c r="G29" s="28">
        <f>E29-F29</f>
        <v/>
      </c>
      <c r="H29" s="18">
        <f>'Parámetros'!$B$12</f>
        <v/>
      </c>
      <c r="I29" s="18">
        <f>'Parámetros'!$B$13</f>
        <v/>
      </c>
      <c r="J29" s="18">
        <f>'Parámetros'!$B$14</f>
        <v/>
      </c>
      <c r="K29" s="18">
        <f>'Parámetros'!$B$15</f>
        <v/>
      </c>
      <c r="L29" s="19">
        <f>SUM(H29:K29)</f>
        <v/>
      </c>
      <c r="M29" s="29">
        <f>G29-L29</f>
        <v/>
      </c>
      <c r="N29" s="21">
        <f>N28+M29</f>
        <v/>
      </c>
    </row>
    <row r="30" ht="18" customHeight="1">
      <c r="A30" s="22" t="n">
        <v>28</v>
      </c>
      <c r="B30" s="22" t="inlineStr">
        <is>
          <t>Apr 2027</t>
        </is>
      </c>
      <c r="C30" s="23">
        <f>'Parámetros'!$B$6*(1+'Parámetros'!$B$8)^2</f>
        <v/>
      </c>
      <c r="D30" s="30">
        <f>IF(28&lt;='Parámetros'!$B$5,0,'Parámetros'!$B$7)</f>
        <v/>
      </c>
      <c r="E30" s="23">
        <f>C30*D30</f>
        <v/>
      </c>
      <c r="F30" s="23">
        <f>E30*'Parámetros'!$B$11</f>
        <v/>
      </c>
      <c r="G30" s="28">
        <f>E30-F30</f>
        <v/>
      </c>
      <c r="H30" s="23">
        <f>'Parámetros'!$B$12</f>
        <v/>
      </c>
      <c r="I30" s="23">
        <f>'Parámetros'!$B$13</f>
        <v/>
      </c>
      <c r="J30" s="23">
        <f>'Parámetros'!$B$14</f>
        <v/>
      </c>
      <c r="K30" s="23">
        <f>'Parámetros'!$B$15</f>
        <v/>
      </c>
      <c r="L30" s="24">
        <f>SUM(H30:K30)</f>
        <v/>
      </c>
      <c r="M30" s="31">
        <f>G30-L30</f>
        <v/>
      </c>
      <c r="N30" s="26">
        <f>N29+M30</f>
        <v/>
      </c>
    </row>
    <row r="31" ht="18" customHeight="1">
      <c r="A31" s="14" t="n">
        <v>29</v>
      </c>
      <c r="B31" s="14" t="inlineStr">
        <is>
          <t>May 2027</t>
        </is>
      </c>
      <c r="C31" s="18">
        <f>'Parámetros'!$B$6*(1+'Parámetros'!$B$8)^2</f>
        <v/>
      </c>
      <c r="D31" s="27">
        <f>IF(29&lt;='Parámetros'!$B$5,0,'Parámetros'!$B$7)</f>
        <v/>
      </c>
      <c r="E31" s="18">
        <f>C31*D31</f>
        <v/>
      </c>
      <c r="F31" s="18">
        <f>E31*'Parámetros'!$B$11</f>
        <v/>
      </c>
      <c r="G31" s="28">
        <f>E31-F31</f>
        <v/>
      </c>
      <c r="H31" s="18">
        <f>'Parámetros'!$B$12</f>
        <v/>
      </c>
      <c r="I31" s="18">
        <f>'Parámetros'!$B$13</f>
        <v/>
      </c>
      <c r="J31" s="18">
        <f>'Parámetros'!$B$14</f>
        <v/>
      </c>
      <c r="K31" s="18">
        <f>'Parámetros'!$B$15</f>
        <v/>
      </c>
      <c r="L31" s="19">
        <f>SUM(H31:K31)</f>
        <v/>
      </c>
      <c r="M31" s="29">
        <f>G31-L31</f>
        <v/>
      </c>
      <c r="N31" s="21">
        <f>N30+M31</f>
        <v/>
      </c>
    </row>
    <row r="32" ht="18" customHeight="1">
      <c r="A32" s="22" t="n">
        <v>30</v>
      </c>
      <c r="B32" s="22" t="inlineStr">
        <is>
          <t>Jun 2027</t>
        </is>
      </c>
      <c r="C32" s="23">
        <f>'Parámetros'!$B$6*(1+'Parámetros'!$B$8)^2</f>
        <v/>
      </c>
      <c r="D32" s="30">
        <f>IF(30&lt;='Parámetros'!$B$5,0,'Parámetros'!$B$7)</f>
        <v/>
      </c>
      <c r="E32" s="23">
        <f>C32*D32</f>
        <v/>
      </c>
      <c r="F32" s="23">
        <f>E32*'Parámetros'!$B$11</f>
        <v/>
      </c>
      <c r="G32" s="28">
        <f>E32-F32</f>
        <v/>
      </c>
      <c r="H32" s="23">
        <f>'Parámetros'!$B$12</f>
        <v/>
      </c>
      <c r="I32" s="23">
        <f>'Parámetros'!$B$13</f>
        <v/>
      </c>
      <c r="J32" s="23">
        <f>'Parámetros'!$B$14</f>
        <v/>
      </c>
      <c r="K32" s="23">
        <f>'Parámetros'!$B$15</f>
        <v/>
      </c>
      <c r="L32" s="24">
        <f>SUM(H32:K32)</f>
        <v/>
      </c>
      <c r="M32" s="31">
        <f>G32-L32</f>
        <v/>
      </c>
      <c r="N32" s="26">
        <f>N31+M32</f>
        <v/>
      </c>
    </row>
    <row r="33" ht="18" customHeight="1">
      <c r="A33" s="14" t="n">
        <v>31</v>
      </c>
      <c r="B33" s="14" t="inlineStr">
        <is>
          <t>Jul 2027</t>
        </is>
      </c>
      <c r="C33" s="18">
        <f>'Parámetros'!$B$6*(1+'Parámetros'!$B$8)^2</f>
        <v/>
      </c>
      <c r="D33" s="27">
        <f>IF(31&lt;='Parámetros'!$B$5,0,'Parámetros'!$B$7)</f>
        <v/>
      </c>
      <c r="E33" s="18">
        <f>C33*D33</f>
        <v/>
      </c>
      <c r="F33" s="18">
        <f>E33*'Parámetros'!$B$11</f>
        <v/>
      </c>
      <c r="G33" s="28">
        <f>E33-F33</f>
        <v/>
      </c>
      <c r="H33" s="18">
        <f>'Parámetros'!$B$12</f>
        <v/>
      </c>
      <c r="I33" s="18">
        <f>'Parámetros'!$B$13</f>
        <v/>
      </c>
      <c r="J33" s="18">
        <f>'Parámetros'!$B$14</f>
        <v/>
      </c>
      <c r="K33" s="18">
        <f>'Parámetros'!$B$15</f>
        <v/>
      </c>
      <c r="L33" s="19">
        <f>SUM(H33:K33)</f>
        <v/>
      </c>
      <c r="M33" s="29">
        <f>G33-L33</f>
        <v/>
      </c>
      <c r="N33" s="21">
        <f>N32+M33</f>
        <v/>
      </c>
    </row>
    <row r="34" ht="18" customHeight="1">
      <c r="A34" s="22" t="n">
        <v>32</v>
      </c>
      <c r="B34" s="22" t="inlineStr">
        <is>
          <t>Aug 2027</t>
        </is>
      </c>
      <c r="C34" s="23">
        <f>'Parámetros'!$B$6*(1+'Parámetros'!$B$8)^2</f>
        <v/>
      </c>
      <c r="D34" s="30">
        <f>IF(32&lt;='Parámetros'!$B$5,0,'Parámetros'!$B$7)</f>
        <v/>
      </c>
      <c r="E34" s="23">
        <f>C34*D34</f>
        <v/>
      </c>
      <c r="F34" s="23">
        <f>E34*'Parámetros'!$B$11</f>
        <v/>
      </c>
      <c r="G34" s="28">
        <f>E34-F34</f>
        <v/>
      </c>
      <c r="H34" s="23">
        <f>'Parámetros'!$B$12</f>
        <v/>
      </c>
      <c r="I34" s="23">
        <f>'Parámetros'!$B$13</f>
        <v/>
      </c>
      <c r="J34" s="23">
        <f>'Parámetros'!$B$14</f>
        <v/>
      </c>
      <c r="K34" s="23">
        <f>'Parámetros'!$B$15</f>
        <v/>
      </c>
      <c r="L34" s="24">
        <f>SUM(H34:K34)</f>
        <v/>
      </c>
      <c r="M34" s="31">
        <f>G34-L34</f>
        <v/>
      </c>
      <c r="N34" s="26">
        <f>N33+M34</f>
        <v/>
      </c>
    </row>
    <row r="35" ht="18" customHeight="1">
      <c r="A35" s="14" t="n">
        <v>33</v>
      </c>
      <c r="B35" s="14" t="inlineStr">
        <is>
          <t>Sep 2027</t>
        </is>
      </c>
      <c r="C35" s="18">
        <f>'Parámetros'!$B$6*(1+'Parámetros'!$B$8)^2</f>
        <v/>
      </c>
      <c r="D35" s="27">
        <f>IF(33&lt;='Parámetros'!$B$5,0,'Parámetros'!$B$7)</f>
        <v/>
      </c>
      <c r="E35" s="18">
        <f>C35*D35</f>
        <v/>
      </c>
      <c r="F35" s="18">
        <f>E35*'Parámetros'!$B$11</f>
        <v/>
      </c>
      <c r="G35" s="28">
        <f>E35-F35</f>
        <v/>
      </c>
      <c r="H35" s="18">
        <f>'Parámetros'!$B$12</f>
        <v/>
      </c>
      <c r="I35" s="18">
        <f>'Parámetros'!$B$13</f>
        <v/>
      </c>
      <c r="J35" s="18">
        <f>'Parámetros'!$B$14</f>
        <v/>
      </c>
      <c r="K35" s="18">
        <f>'Parámetros'!$B$15</f>
        <v/>
      </c>
      <c r="L35" s="19">
        <f>SUM(H35:K35)</f>
        <v/>
      </c>
      <c r="M35" s="29">
        <f>G35-L35</f>
        <v/>
      </c>
      <c r="N35" s="21">
        <f>N34+M35</f>
        <v/>
      </c>
    </row>
    <row r="36" ht="18" customHeight="1">
      <c r="A36" s="22" t="n">
        <v>34</v>
      </c>
      <c r="B36" s="22" t="inlineStr">
        <is>
          <t>Oct 2027</t>
        </is>
      </c>
      <c r="C36" s="23">
        <f>'Parámetros'!$B$6*(1+'Parámetros'!$B$8)^2</f>
        <v/>
      </c>
      <c r="D36" s="30">
        <f>IF(34&lt;='Parámetros'!$B$5,0,'Parámetros'!$B$7)</f>
        <v/>
      </c>
      <c r="E36" s="23">
        <f>C36*D36</f>
        <v/>
      </c>
      <c r="F36" s="23">
        <f>E36*'Parámetros'!$B$11</f>
        <v/>
      </c>
      <c r="G36" s="28">
        <f>E36-F36</f>
        <v/>
      </c>
      <c r="H36" s="23">
        <f>'Parámetros'!$B$12</f>
        <v/>
      </c>
      <c r="I36" s="23">
        <f>'Parámetros'!$B$13</f>
        <v/>
      </c>
      <c r="J36" s="23">
        <f>'Parámetros'!$B$14</f>
        <v/>
      </c>
      <c r="K36" s="23">
        <f>'Parámetros'!$B$15</f>
        <v/>
      </c>
      <c r="L36" s="24">
        <f>SUM(H36:K36)</f>
        <v/>
      </c>
      <c r="M36" s="31">
        <f>G36-L36</f>
        <v/>
      </c>
      <c r="N36" s="26">
        <f>N35+M36</f>
        <v/>
      </c>
    </row>
    <row r="37" ht="18" customHeight="1">
      <c r="A37" s="14" t="n">
        <v>35</v>
      </c>
      <c r="B37" s="14" t="inlineStr">
        <is>
          <t>Nov 2027</t>
        </is>
      </c>
      <c r="C37" s="18">
        <f>'Parámetros'!$B$6*(1+'Parámetros'!$B$8)^2</f>
        <v/>
      </c>
      <c r="D37" s="27">
        <f>IF(35&lt;='Parámetros'!$B$5,0,'Parámetros'!$B$7)</f>
        <v/>
      </c>
      <c r="E37" s="18">
        <f>C37*D37</f>
        <v/>
      </c>
      <c r="F37" s="18">
        <f>E37*'Parámetros'!$B$11</f>
        <v/>
      </c>
      <c r="G37" s="28">
        <f>E37-F37</f>
        <v/>
      </c>
      <c r="H37" s="18">
        <f>'Parámetros'!$B$12</f>
        <v/>
      </c>
      <c r="I37" s="18">
        <f>'Parámetros'!$B$13</f>
        <v/>
      </c>
      <c r="J37" s="18">
        <f>'Parámetros'!$B$14</f>
        <v/>
      </c>
      <c r="K37" s="18">
        <f>'Parámetros'!$B$15</f>
        <v/>
      </c>
      <c r="L37" s="19">
        <f>SUM(H37:K37)</f>
        <v/>
      </c>
      <c r="M37" s="29">
        <f>G37-L37</f>
        <v/>
      </c>
      <c r="N37" s="21">
        <f>N36+M37</f>
        <v/>
      </c>
    </row>
    <row r="38" ht="18" customHeight="1">
      <c r="A38" s="22" t="n">
        <v>36</v>
      </c>
      <c r="B38" s="22" t="inlineStr">
        <is>
          <t>Dec 2027</t>
        </is>
      </c>
      <c r="C38" s="23">
        <f>'Parámetros'!$B$6*(1+'Parámetros'!$B$8)^2</f>
        <v/>
      </c>
      <c r="D38" s="30">
        <f>IF(36&lt;='Parámetros'!$B$5,0,'Parámetros'!$B$7)</f>
        <v/>
      </c>
      <c r="E38" s="23">
        <f>C38*D38</f>
        <v/>
      </c>
      <c r="F38" s="23">
        <f>E38*'Parámetros'!$B$11</f>
        <v/>
      </c>
      <c r="G38" s="28">
        <f>E38-F38</f>
        <v/>
      </c>
      <c r="H38" s="23">
        <f>'Parámetros'!$B$12</f>
        <v/>
      </c>
      <c r="I38" s="23">
        <f>'Parámetros'!$B$13</f>
        <v/>
      </c>
      <c r="J38" s="23">
        <f>'Parámetros'!$B$14</f>
        <v/>
      </c>
      <c r="K38" s="23">
        <f>'Parámetros'!$B$15</f>
        <v/>
      </c>
      <c r="L38" s="24">
        <f>SUM(H38:K38)</f>
        <v/>
      </c>
      <c r="M38" s="31">
        <f>G38-L38</f>
        <v/>
      </c>
      <c r="N38" s="26">
        <f>N37+M38</f>
        <v/>
      </c>
    </row>
    <row r="39" ht="22" customHeight="1">
      <c r="A39" s="32" t="inlineStr">
        <is>
          <t>TOTALES</t>
        </is>
      </c>
      <c r="G39" s="33">
        <f>SUM(G3:G38)</f>
        <v/>
      </c>
      <c r="H39" s="33">
        <f>SUM(H3:H38)</f>
        <v/>
      </c>
      <c r="I39" s="33">
        <f>SUM(I3:I38)</f>
        <v/>
      </c>
      <c r="J39" s="33">
        <f>SUM(J3:J38)</f>
        <v/>
      </c>
      <c r="K39" s="33">
        <f>SUM(K3:K38)</f>
        <v/>
      </c>
      <c r="L39" s="33">
        <f>SUM(L3:L38)</f>
        <v/>
      </c>
      <c r="M39" s="33">
        <f>SUM(M3:M38)</f>
        <v/>
      </c>
      <c r="N39" s="33">
        <f>N38</f>
        <v/>
      </c>
    </row>
  </sheetData>
  <mergeCells count="2">
    <mergeCell ref="A39:F3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8" customWidth="1" min="3" max="3"/>
  </cols>
  <sheetData>
    <row r="1" ht="38" customHeight="1">
      <c r="A1" s="12" t="inlineStr">
        <is>
          <t>RESUMEN EJECUTIVO – FLUJO DE CAJA AIRBNB</t>
        </is>
      </c>
    </row>
    <row r="3">
      <c r="A3" s="2" t="inlineStr">
        <is>
          <t>INVERSIÓN</t>
        </is>
      </c>
      <c r="B3" s="3" t="n"/>
      <c r="C3" s="3" t="n"/>
    </row>
    <row r="4">
      <c r="A4" s="4" t="inlineStr">
        <is>
          <t>Inversión inicial (amoblado)</t>
        </is>
      </c>
      <c r="B4" s="34">
        <f>'Parámetros'!$B$18</f>
        <v/>
      </c>
      <c r="C4" s="6" t="n"/>
    </row>
    <row r="5">
      <c r="A5" s="7" t="inlineStr">
        <is>
          <t>Horizonte de análisis</t>
        </is>
      </c>
      <c r="B5" s="35">
        <f>'Parámetros'!$B$4&amp;" meses"</f>
        <v/>
      </c>
      <c r="C5" s="8" t="n"/>
    </row>
    <row r="6">
      <c r="A6" s="4" t="inlineStr">
        <is>
          <t>Meses de gracia</t>
        </is>
      </c>
      <c r="B6" s="36">
        <f>'Parámetros'!$B$5</f>
        <v/>
      </c>
      <c r="C6" s="6" t="n"/>
    </row>
    <row r="8">
      <c r="A8" s="2" t="inlineStr">
        <is>
          <t>INGRESOS ESPERADOS</t>
        </is>
      </c>
      <c r="B8" s="3" t="n"/>
      <c r="C8" s="3" t="n"/>
    </row>
    <row r="9">
      <c r="A9" s="7" t="inlineStr">
        <is>
          <t>ADR promedio inicial (CLP/noche)</t>
        </is>
      </c>
      <c r="B9" s="19">
        <f>'Parámetros'!$B$6</f>
        <v/>
      </c>
      <c r="C9" s="8" t="n"/>
    </row>
    <row r="10">
      <c r="A10" s="4" t="inlineStr">
        <is>
          <t>Noches promedio / mes</t>
        </is>
      </c>
      <c r="B10" s="36">
        <f>'Parámetros'!$B$7</f>
        <v/>
      </c>
      <c r="C10" s="6" t="n"/>
    </row>
    <row r="11">
      <c r="A11" s="7" t="inlineStr">
        <is>
          <t>Ingreso bruto mensual promedio</t>
        </is>
      </c>
      <c r="B11" s="19">
        <f>'Parámetros'!$B$6*'Parámetros'!$B$7</f>
        <v/>
      </c>
      <c r="C11" s="8" t="n"/>
    </row>
    <row r="12">
      <c r="A12" s="4" t="inlineStr">
        <is>
          <t>Comisión administración/Airbnb</t>
        </is>
      </c>
      <c r="B12" s="37">
        <f>'Parámetros'!$B$11</f>
        <v/>
      </c>
      <c r="C12" s="6" t="n"/>
    </row>
    <row r="13">
      <c r="A13" s="7" t="inlineStr">
        <is>
          <t>Ingreso neto mensual promedio</t>
        </is>
      </c>
      <c r="B13" s="19">
        <f>'Parámetros'!$B$6*'Parámetros'!$B$7*(1-'Parámetros'!$B$11)</f>
        <v/>
      </c>
      <c r="C13" s="8" t="n"/>
    </row>
    <row r="15">
      <c r="A15" s="2" t="inlineStr">
        <is>
          <t>EGRESOS FIJOS MENSUALES</t>
        </is>
      </c>
      <c r="B15" s="3" t="n"/>
      <c r="C15" s="3" t="n"/>
    </row>
    <row r="16">
      <c r="A16" s="4" t="inlineStr">
        <is>
          <t>Gastos comunes</t>
        </is>
      </c>
      <c r="B16" s="34">
        <f>'Parámetros'!$B$12</f>
        <v/>
      </c>
      <c r="C16" s="6" t="n"/>
    </row>
    <row r="17">
      <c r="A17" s="7" t="inlineStr">
        <is>
          <t>Servicios</t>
        </is>
      </c>
      <c r="B17" s="19">
        <f>'Parámetros'!$B$13</f>
        <v/>
      </c>
      <c r="C17" s="8" t="n"/>
    </row>
    <row r="18">
      <c r="A18" s="4" t="inlineStr">
        <is>
          <t>Fondo mantención</t>
        </is>
      </c>
      <c r="B18" s="34">
        <f>'Parámetros'!$B$14</f>
        <v/>
      </c>
      <c r="C18" s="6" t="n"/>
    </row>
    <row r="19">
      <c r="A19" s="7" t="inlineStr">
        <is>
          <t>Dividendo / arriendo</t>
        </is>
      </c>
      <c r="B19" s="19">
        <f>'Parámetros'!$B$15</f>
        <v/>
      </c>
      <c r="C19" s="8" t="n"/>
    </row>
    <row r="20">
      <c r="A20" s="4" t="inlineStr">
        <is>
          <t>Total egresos fijos</t>
        </is>
      </c>
      <c r="B20" s="34">
        <f>'Parámetros'!$B$12+'Parámetros'!$B$13+'Parámetros'!$B$14+'Parámetros'!$B$15</f>
        <v/>
      </c>
      <c r="C20" s="6" t="n"/>
    </row>
    <row r="22">
      <c r="A22" s="2" t="inlineStr">
        <is>
          <t>INDICADORES FINANCIEROS</t>
        </is>
      </c>
      <c r="B22" s="3" t="n"/>
      <c r="C22" s="3" t="n"/>
    </row>
    <row r="23">
      <c r="A23" s="7" t="inlineStr">
        <is>
          <t>Tasa de descuento anual</t>
        </is>
      </c>
      <c r="B23" s="38">
        <f>'Parámetros'!$B$19</f>
        <v/>
      </c>
      <c r="C23" s="8" t="n"/>
    </row>
    <row r="24">
      <c r="A24" s="4" t="inlineStr">
        <is>
          <t>Tasa de descuento mensual</t>
        </is>
      </c>
      <c r="B24" s="39">
        <f>(1+'Parámetros'!$B$19)^(1/12)-1</f>
        <v/>
      </c>
      <c r="C24" s="6" t="n"/>
    </row>
    <row r="25">
      <c r="A25" s="7" t="inlineStr">
        <is>
          <t>Flujo neto total (36 meses)</t>
        </is>
      </c>
      <c r="B25" s="19">
        <f>'Flujo de Caja Mensual'!M39</f>
        <v/>
      </c>
      <c r="C25" s="8" t="n"/>
    </row>
    <row r="26">
      <c r="A26" s="4" t="inlineStr">
        <is>
          <t>Flujo acumulado final</t>
        </is>
      </c>
      <c r="B26" s="34">
        <f>'Flujo de Caja Mensual'!N38</f>
        <v/>
      </c>
      <c r="C26" s="6" t="n"/>
    </row>
    <row r="27">
      <c r="A27" s="7" t="inlineStr">
        <is>
          <t>VAN (Valor Actual Neto)</t>
        </is>
      </c>
      <c r="B27" s="19">
        <f>NPV((1+'Parámetros'!$B$19)^(1/12)-1,'Flujo de Caja Mensual'!M3:'Flujo de Caja Mensual'!M38)-'Parámetros'!$B$18</f>
        <v/>
      </c>
      <c r="C27" s="8" t="n"/>
    </row>
    <row r="28">
      <c r="A28" s="4" t="inlineStr">
        <is>
          <t>TIR mensual</t>
        </is>
      </c>
      <c r="B28" s="40">
        <f>IFERROR(IRR(IF({1},{-'Parámetros'!$B$18,'Flujo de Caja Mensual'!M3:'Flujo de Caja Mensual'!M38})),"N/D")</f>
        <v/>
      </c>
      <c r="C28" s="6" t="n"/>
    </row>
    <row r="29">
      <c r="A29" s="7" t="inlineStr">
        <is>
          <t>Payback (mes aprox.)</t>
        </is>
      </c>
      <c r="B29" s="41">
        <f>IFERROR(MATCH(0,IF('Flujo de Caja Mensual'!N3:'Flujo de Caja Mensual'!N38&gt;0,1,0),0)+'Parámetros'!$B$5,"No recuperado")</f>
        <v/>
      </c>
      <c r="C29" s="8" t="n"/>
    </row>
    <row r="32" ht="36" customHeight="1">
      <c r="A32" s="42" t="inlineStr">
        <is>
          <t>Nota: VAN positivo indica que el proyecto genera valor por encima de la tasa de descuento elegida (12% anual). TIR se calcula con flujos mensuales incluyendo la inversión inicial en t=0.</t>
        </is>
      </c>
    </row>
  </sheetData>
  <mergeCells count="6">
    <mergeCell ref="A1:C1"/>
    <mergeCell ref="A32:C32"/>
    <mergeCell ref="A8:C8"/>
    <mergeCell ref="A22:C22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2026-02-18T18:39:04Z</dcterms:created>
  <dcterms:modified xsi:type="dcterms:W3CDTF">2026-02-18T18:39:04Z</dcterms:modified>
</cp:coreProperties>
</file>